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7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11" sheetId="11" r:id="rId8"/>
  </sheets>
  <definedNames>
    <definedName name="Slicer_Gender">#N/A</definedName>
    <definedName name="Slicer_What_are_your_savings_objectives?">#N/A</definedName>
    <definedName name="Slicer_Source">#N/A</definedName>
    <definedName name="Slicer_Expect">#N/A</definedName>
  </definedNames>
  <calcPr calcId="191029"/>
  <pivotCaches>
    <pivotCache cacheId="0" r:id="rId9"/>
    <pivotCache cacheId="1" r:id="rId10"/>
  </pivotCaches>
  <extLst>
    <ext xmlns:x14="http://schemas.microsoft.com/office/spreadsheetml/2009/9/main" uri="{BBE1A952-AA13-448e-AADC-164F8A28A991}">
      <x14:slicerCaches>
        <x14:slicerCache r:id="rId14"/>
        <x14:slicerCache r:id="rId13"/>
        <x14:slicerCache r:id="rId12"/>
        <x14:slicerCache r:id="rId11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<sst xmlns="http://schemas.openxmlformats.org/spreadsheetml/2006/main" count="939" uniqueCount="115">
  <si>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</si>
  <si>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</si>
  <si>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</si>
  <si>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</si>
  <si>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</si>
  <si>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</si>
  <si>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</si>
  <si>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</si>
  <si>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</si>
  <si>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</si>
  <si>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</si>
  <si>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</si>
  <si>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</si>
  <si>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</si>
  <si>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</si>
  <si>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</si>
  <si>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</si>
  <si>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</si>
  <si>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</si>
  <si>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</si>
  <si>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</si>
  <si>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</si>
  <si>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</si>
  <si>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</si>
  <si>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</si>
  <si>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</si>
  <si>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</si>
  <si>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</si>
  <si>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</si>
  <si>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</si>
  <si>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</si>
  <si>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</si>
  <si>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</si>
  <si>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</si>
  <si>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</si>
  <si>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</si>
  <si>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</si>
  <si>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</si>
  <si>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</si>
  <si>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</si>
  <si>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</si>
  <si>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</si>
  <si>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</si>
  <si>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</si>
  <si>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</si>
  <si>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</si>
  <si>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</si>
  <si>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</si>
  <si>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</si>
  <si>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</si>
  <si>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</si>
  <si>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</si>
  <si>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</si>
  <si>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</si>
  <si>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</si>
  <si>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</si>
  <si>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</si>
  <si>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</si>
  <si>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</si>
  <si>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</si>
  <si>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</si>
  <si>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</si>
  <si>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</si>
  <si>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</si>
  <si>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</si>
  <si>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</si>
  <si>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</si>
  <si>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</si>
  <si>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Task 1 : Gender distribution Analysis in Excel</t>
  </si>
  <si>
    <t>Count of each gender</t>
  </si>
  <si>
    <t>Count of Gender</t>
  </si>
  <si>
    <t>Grand Total</t>
  </si>
  <si>
    <t>Task 2 : Investment preferences Analysis in Excel</t>
  </si>
  <si>
    <t>Equity Reasons</t>
  </si>
  <si>
    <t>Bonds Reasons</t>
  </si>
  <si>
    <t>Count of Avenue</t>
  </si>
  <si>
    <t>Row Labels</t>
  </si>
  <si>
    <t>Count of Reason_Equity</t>
  </si>
  <si>
    <t>Count of Reason_Bonds</t>
  </si>
  <si>
    <t>Investment Avenue</t>
  </si>
  <si>
    <t>Mutual</t>
  </si>
  <si>
    <t>Bonds</t>
  </si>
  <si>
    <t>FD</t>
  </si>
  <si>
    <t>Mutual Reasons</t>
  </si>
  <si>
    <t xml:space="preserve">   FD Reasons</t>
  </si>
  <si>
    <t>Count of Reason_Mutual</t>
  </si>
  <si>
    <t>Count of Reason_FD</t>
  </si>
  <si>
    <t>Task 3 : Objectives and source Analysis in excel</t>
  </si>
  <si>
    <t>Count of What are your savings objectives?</t>
  </si>
  <si>
    <t>Count of Source</t>
  </si>
  <si>
    <t>Task 4: Duration and Expectations Analysis in Excel</t>
  </si>
  <si>
    <t>Count of Duration</t>
  </si>
  <si>
    <t>Count of Expect</t>
  </si>
  <si>
    <t>Task 5: Correlation Analysis in Excel</t>
  </si>
  <si>
    <t>Age</t>
  </si>
  <si>
    <t>Correlation B\w Age and Duration</t>
  </si>
  <si>
    <t>Correlation B\w Age and Expect</t>
  </si>
  <si>
    <t>Correlation B\w Duration and Expect</t>
  </si>
  <si>
    <r>
      <rPr>
        <sz val="11"/>
        <color theme="1"/>
        <rFont val="Calibri"/>
        <charset val="134"/>
        <scheme val="minor"/>
      </rPr>
      <t xml:space="preserve">Correlation analysis was performed using </t>
    </r>
    <r>
      <rPr>
        <b/>
        <sz val="11"/>
        <color theme="1"/>
        <rFont val="Calibri"/>
        <charset val="134"/>
        <scheme val="minor"/>
      </rPr>
      <t>Excel's CORREL function</t>
    </r>
    <r>
      <rPr>
        <sz val="11"/>
        <color theme="1"/>
        <rFont val="Calibri"/>
        <charset val="134"/>
        <scheme val="minor"/>
      </rPr>
      <t xml:space="preserve">. The correlation between </t>
    </r>
    <r>
      <rPr>
        <b/>
        <sz val="11"/>
        <color theme="1"/>
        <rFont val="Calibri"/>
        <charset val="134"/>
        <scheme val="minor"/>
      </rPr>
      <t>Age and Investment Duration is 0.020</t>
    </r>
    <r>
      <rPr>
        <sz val="11"/>
        <color theme="1"/>
        <rFont val="Calibri"/>
        <charset val="134"/>
        <scheme val="minor"/>
      </rPr>
      <t xml:space="preserve">, indicating virtually no relationship. The correlation between </t>
    </r>
    <r>
      <rPr>
        <b/>
        <sz val="11"/>
        <color theme="1"/>
        <rFont val="Calibri"/>
        <charset val="134"/>
        <scheme val="minor"/>
      </rPr>
      <t>Age and Expected Returns is -0.090</t>
    </r>
    <r>
      <rPr>
        <sz val="11"/>
        <color theme="1"/>
        <rFont val="Calibri"/>
        <charset val="134"/>
        <scheme val="minor"/>
      </rPr>
      <t xml:space="preserve">, indicating a very weak negative relationship. The correlation between </t>
    </r>
    <r>
      <rPr>
        <b/>
        <sz val="11"/>
        <color theme="1"/>
        <rFont val="Calibri"/>
        <charset val="134"/>
        <scheme val="minor"/>
      </rPr>
      <t>Investment Duration and Expected Returns is 0.239</t>
    </r>
    <r>
      <rPr>
        <sz val="11"/>
        <color theme="1"/>
        <rFont val="Calibri"/>
        <charset val="134"/>
        <scheme val="minor"/>
      </rPr>
      <t>, indicating a weak positive relationship. Overall, none of the variables show a strong linear correlation.</t>
    </r>
  </si>
  <si>
    <t>Task 6: Dashboard Creation in Excel</t>
  </si>
  <si>
    <t>Values</t>
  </si>
  <si>
    <t>Sum of Capital Appreciation</t>
  </si>
  <si>
    <t>Sum of Dividend</t>
  </si>
  <si>
    <t>Sum of Liquidity</t>
  </si>
  <si>
    <t>Sum of Better Returns</t>
  </si>
  <si>
    <t>Sum of Fund Diversification</t>
  </si>
  <si>
    <t>Sum of Tax Benefits</t>
  </si>
  <si>
    <t>Sum of Assured Returns</t>
  </si>
  <si>
    <t>Sum of Safe Investment</t>
  </si>
  <si>
    <t>Sum of Tax Incentives</t>
  </si>
  <si>
    <t>Sum of Fixed Returns</t>
  </si>
  <si>
    <t>Sum of High Interest Rates</t>
  </si>
  <si>
    <t>Sum of Risk Free</t>
  </si>
  <si>
    <t xml:space="preserve"> 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</si>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</sst>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6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1"/>
      <color theme="1"/>
      <name val="Arial"/>
      <charset val="134"/>
    </font>
    <font>
      <b/>
      <sz val="11"/>
      <color theme="1"/>
      <name val="Calibri"/>
      <charset val="134"/>
      <scheme val="minor"/>
    </font>
    <font>
      <b/>
      <sz val="16"/>
      <color theme="1"/>
      <name val="Microsoft YaHei"/>
      <charset val="134"/>
    </font>
    <font>
      <b/>
      <sz val="11"/>
      <color theme="1"/>
      <name val="Microsoft YaHei"/>
      <charset val="134"/>
    </font>
    <font>
      <b/>
      <sz val="10"/>
      <color theme="1"/>
      <name val="Microsoft YaHei"/>
      <charset val="134"/>
    </font>
    <font>
      <sz val="10"/>
      <color theme="1"/>
      <name val="Microsoft YaHei"/>
      <charset val="134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10" borderId="6" applyNumberFormat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5" borderId="1" xfId="0" applyFont="1" applyFill="1" applyBorder="1" applyAlignment="1">
      <alignment horizontal="center" readingOrder="1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readingOrder="1"/>
    </xf>
    <xf numFmtId="0" fontId="0" fillId="6" borderId="2" xfId="0" applyFont="1" applyFill="1" applyBorder="1" applyAlignment="1">
      <alignment horizontal="justify" vertical="top"/>
    </xf>
    <xf numFmtId="0" fontId="0" fillId="6" borderId="2" xfId="0" applyFill="1" applyBorder="1" applyAlignment="1">
      <alignment horizontal="justify" vertical="top"/>
    </xf>
    <xf numFmtId="0" fontId="0" fillId="0" borderId="0" xfId="0" applyAlignment="1">
      <alignment vertical="top"/>
    </xf>
    <xf numFmtId="0" fontId="0" fillId="0" borderId="0" xfId="0" applyFill="1">
      <alignment vertic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5" borderId="0" xfId="0" applyFont="1" applyFill="1">
      <alignment vertical="center"/>
    </xf>
    <xf numFmtId="0" fontId="6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5">
    <dxf>
      <alignment wrapText="1"/>
    </dxf>
    <dxf>
      <font>
        <name val="Microsoft YaHei"/>
        <scheme val="none"/>
        <b val="1"/>
        <sz val="11"/>
      </font>
    </dxf>
    <dxf>
      <font>
        <name val="Microsoft YaHei"/>
        <scheme val="none"/>
        <sz val="10"/>
      </font>
    </dxf>
    <dxf>
      <font>
        <name val="Microsoft YaHei"/>
        <scheme val="none"/>
        <sz val="10"/>
      </font>
    </dxf>
    <dxf>
      <font>
        <name val="Microsoft YaHei"/>
        <scheme val="none"/>
        <sz val="10"/>
      </font>
    </dxf>
    <dxf>
      <font>
        <name val="Microsoft YaHei"/>
        <scheme val="none"/>
        <sz val="10"/>
      </font>
    </dxf>
    <dxf>
      <alignment vertic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eetMetadata" Target="metadata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microsoft.com/office/2007/relationships/slicerCache" Target="slicerCaches/slicerCache4.xml"/><Relationship Id="rId13" Type="http://schemas.microsoft.com/office/2007/relationships/slicerCache" Target="slicerCaches/slicerCache3.xml"/><Relationship Id="rId12" Type="http://schemas.microsoft.com/office/2007/relationships/slicerCache" Target="slicerCaches/slicerCache2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Tasks.xlsx]Sheet2!PivotTable1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Gender distribution Analysis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Sheet2!$H$7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Sheet2!$G$8:$G$10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Sheet2!$H$8:$H$10</c:f>
              <c:numCache>
                <c:formatCode>General</c:formatCode>
                <c:ptCount val="2"/>
                <c:pt idx="0">
                  <c:v>15</c:v>
                </c:pt>
                <c:pt idx="1">
                  <c:v>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b100354-28ae-4b18-8108-4cd96e585b3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Tasks.xlsx]Sheet3!PivotTable2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Sheet3!$B$7:$B$11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Sheet3!$C$7:$C$11</c:f>
              <c:numCache>
                <c:formatCode>General</c:formatCode>
                <c:ptCount val="4"/>
                <c:pt idx="0">
                  <c:v>10</c:v>
                </c:pt>
                <c:pt idx="1">
                  <c:v>9</c:v>
                </c:pt>
                <c:pt idx="2">
                  <c:v>18</c:v>
                </c:pt>
                <c:pt idx="3">
                  <c:v>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329586495"/>
        <c:axId val="756359214"/>
      </c:barChart>
      <c:catAx>
        <c:axId val="329586495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800"/>
                  <a:t>Investment Avenue</a:t>
                </a:r>
                <a:endParaRPr lang="en-IN" altLang="en-US" sz="8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6359214"/>
        <c:crosses val="autoZero"/>
        <c:auto val="1"/>
        <c:lblAlgn val="ctr"/>
        <c:lblOffset val="100"/>
        <c:noMultiLvlLbl val="0"/>
      </c:catAx>
      <c:valAx>
        <c:axId val="75635921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800"/>
                  <a:t>Number of participants</a:t>
                </a:r>
                <a:endParaRPr lang="en-IN" altLang="en-US" sz="8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958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fec31cd-6e21-4c50-900c-2011c95c0fe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Investment Reasons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Sheet3!$K$7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Sheet3!$L$6:$W$6</c:f>
              <c:strCache>
                <c:ptCount val="12"/>
                <c:pt idx="0">
                  <c:v>Capital Appreciation</c:v>
                </c:pt>
                <c:pt idx="1">
                  <c:v>Dividend</c:v>
                </c:pt>
                <c:pt idx="2">
                  <c:v>Liquidity</c:v>
                </c:pt>
                <c:pt idx="3">
                  <c:v>Better Returns</c:v>
                </c:pt>
                <c:pt idx="4">
                  <c:v>Fund Diversification</c:v>
                </c:pt>
                <c:pt idx="5">
                  <c:v>Tax Benefits</c:v>
                </c:pt>
                <c:pt idx="6">
                  <c:v>Assured Returns</c:v>
                </c:pt>
                <c:pt idx="7">
                  <c:v>Safe Investment</c:v>
                </c:pt>
                <c:pt idx="8">
                  <c:v>Tax Incentives</c:v>
                </c:pt>
                <c:pt idx="9">
                  <c:v>Fixed Returns</c:v>
                </c:pt>
                <c:pt idx="10">
                  <c:v>High Interest Rates</c:v>
                </c:pt>
                <c:pt idx="11">
                  <c:v>Risk Free</c:v>
                </c:pt>
              </c:strCache>
            </c:strRef>
          </c:cat>
          <c:val>
            <c:numRef>
              <c:f>Sheet3!$L$7:$W$7</c:f>
              <c:numCache>
                <c:formatCode>General</c:formatCode>
                <c:ptCount val="12"/>
                <c:pt idx="0">
                  <c:v>30</c:v>
                </c:pt>
                <c:pt idx="1">
                  <c:v>8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Sheet3!$K$8</c:f>
              <c:strCache>
                <c:ptCount val="1"/>
                <c:pt idx="0">
                  <c:v>Mutual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Sheet3!$L$6:$W$6</c:f>
              <c:strCache>
                <c:ptCount val="12"/>
                <c:pt idx="0">
                  <c:v>Capital Appreciation</c:v>
                </c:pt>
                <c:pt idx="1">
                  <c:v>Dividend</c:v>
                </c:pt>
                <c:pt idx="2">
                  <c:v>Liquidity</c:v>
                </c:pt>
                <c:pt idx="3">
                  <c:v>Better Returns</c:v>
                </c:pt>
                <c:pt idx="4">
                  <c:v>Fund Diversification</c:v>
                </c:pt>
                <c:pt idx="5">
                  <c:v>Tax Benefits</c:v>
                </c:pt>
                <c:pt idx="6">
                  <c:v>Assured Returns</c:v>
                </c:pt>
                <c:pt idx="7">
                  <c:v>Safe Investment</c:v>
                </c:pt>
                <c:pt idx="8">
                  <c:v>Tax Incentives</c:v>
                </c:pt>
                <c:pt idx="9">
                  <c:v>Fixed Returns</c:v>
                </c:pt>
                <c:pt idx="10">
                  <c:v>High Interest Rates</c:v>
                </c:pt>
                <c:pt idx="11">
                  <c:v>Risk Free</c:v>
                </c:pt>
              </c:strCache>
            </c:strRef>
          </c:cat>
          <c:val>
            <c:numRef>
              <c:f>Sheet3!$L$8:$W$8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13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Sheet3!$K$9</c:f>
              <c:strCache>
                <c:ptCount val="1"/>
                <c:pt idx="0">
                  <c:v>Bonds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Sheet3!$L$6:$W$6</c:f>
              <c:strCache>
                <c:ptCount val="12"/>
                <c:pt idx="0">
                  <c:v>Capital Appreciation</c:v>
                </c:pt>
                <c:pt idx="1">
                  <c:v>Dividend</c:v>
                </c:pt>
                <c:pt idx="2">
                  <c:v>Liquidity</c:v>
                </c:pt>
                <c:pt idx="3">
                  <c:v>Better Returns</c:v>
                </c:pt>
                <c:pt idx="4">
                  <c:v>Fund Diversification</c:v>
                </c:pt>
                <c:pt idx="5">
                  <c:v>Tax Benefits</c:v>
                </c:pt>
                <c:pt idx="6">
                  <c:v>Assured Returns</c:v>
                </c:pt>
                <c:pt idx="7">
                  <c:v>Safe Investment</c:v>
                </c:pt>
                <c:pt idx="8">
                  <c:v>Tax Incentives</c:v>
                </c:pt>
                <c:pt idx="9">
                  <c:v>Fixed Returns</c:v>
                </c:pt>
                <c:pt idx="10">
                  <c:v>High Interest Rates</c:v>
                </c:pt>
                <c:pt idx="11">
                  <c:v>Risk Free</c:v>
                </c:pt>
              </c:strCache>
            </c:strRef>
          </c:cat>
          <c:val>
            <c:numRef>
              <c:f>Sheet3!$L$9:$W$9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26</c:v>
                </c:pt>
                <c:pt idx="7">
                  <c:v>13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Sheet3!$K$10</c:f>
              <c:strCache>
                <c:ptCount val="1"/>
                <c:pt idx="0">
                  <c:v>FD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Sheet3!$L$6:$W$6</c:f>
              <c:strCache>
                <c:ptCount val="12"/>
                <c:pt idx="0">
                  <c:v>Capital Appreciation</c:v>
                </c:pt>
                <c:pt idx="1">
                  <c:v>Dividend</c:v>
                </c:pt>
                <c:pt idx="2">
                  <c:v>Liquidity</c:v>
                </c:pt>
                <c:pt idx="3">
                  <c:v>Better Returns</c:v>
                </c:pt>
                <c:pt idx="4">
                  <c:v>Fund Diversification</c:v>
                </c:pt>
                <c:pt idx="5">
                  <c:v>Tax Benefits</c:v>
                </c:pt>
                <c:pt idx="6">
                  <c:v>Assured Returns</c:v>
                </c:pt>
                <c:pt idx="7">
                  <c:v>Safe Investment</c:v>
                </c:pt>
                <c:pt idx="8">
                  <c:v>Tax Incentives</c:v>
                </c:pt>
                <c:pt idx="9">
                  <c:v>Fixed Returns</c:v>
                </c:pt>
                <c:pt idx="10">
                  <c:v>High Interest Rates</c:v>
                </c:pt>
                <c:pt idx="11">
                  <c:v>Risk Free</c:v>
                </c:pt>
              </c:strCache>
            </c:strRef>
          </c:cat>
          <c:val>
            <c:numRef>
              <c:f>Sheet3!$L$10:$W$10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</c:v>
                </c:pt>
                <c:pt idx="10">
                  <c:v>3</c:v>
                </c:pt>
                <c:pt idx="11">
                  <c:v>19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100"/>
        <c:axId val="873103515"/>
        <c:axId val="570039064"/>
      </c:barChart>
      <c:catAx>
        <c:axId val="87310351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0039064"/>
        <c:crosses val="autoZero"/>
        <c:auto val="1"/>
        <c:lblAlgn val="ctr"/>
        <c:lblOffset val="100"/>
        <c:noMultiLvlLbl val="0"/>
      </c:catAx>
      <c:valAx>
        <c:axId val="570039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31035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051c5a6-3110-4446-9249-f9b10bfd0f0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Tasks.xlsx]Sheet3!PivotTable14</c:name>
    <c:fmtId val="0"/>
  </c:pivotSource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Sheet3!$L$20</c:f>
              <c:strCache>
                <c:ptCount val="1"/>
                <c:pt idx="0">
                  <c:v>Count of Reason_Bonds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Sheet3!$K$21:$K$25</c:f>
              <c:strCache>
                <c:ptCount val="4"/>
                <c:pt idx="0">
                  <c:v>Mutual Fund</c:v>
                </c:pt>
                <c:pt idx="1">
                  <c:v>Equity</c:v>
                </c:pt>
                <c:pt idx="2">
                  <c:v>Fixed Deposits</c:v>
                </c:pt>
                <c:pt idx="3">
                  <c:v>Public Provident Fund</c:v>
                </c:pt>
              </c:strCache>
            </c:strRef>
          </c:cat>
          <c:val>
            <c:numRef>
              <c:f>Sheet3!$L$21:$L$25</c:f>
              <c:numCache>
                <c:formatCode>General</c:formatCode>
                <c:ptCount val="4"/>
                <c:pt idx="0">
                  <c:v>18</c:v>
                </c:pt>
                <c:pt idx="1">
                  <c:v>10</c:v>
                </c:pt>
                <c:pt idx="2">
                  <c:v>9</c:v>
                </c:pt>
                <c:pt idx="3">
                  <c:v>3</c:v>
                </c:pt>
              </c:numCache>
            </c:numRef>
          </c:val>
        </c:ser>
        <c:ser>
          <c:idx val="1"/>
          <c:order val="1"/>
          <c:tx>
            <c:strRef>
              <c:f>Sheet3!$M$20</c:f>
              <c:strCache>
                <c:ptCount val="1"/>
                <c:pt idx="0">
                  <c:v>Count of Reason_Equity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Sheet3!$K$21:$K$25</c:f>
              <c:strCache>
                <c:ptCount val="4"/>
                <c:pt idx="0">
                  <c:v>Mutual Fund</c:v>
                </c:pt>
                <c:pt idx="1">
                  <c:v>Equity</c:v>
                </c:pt>
                <c:pt idx="2">
                  <c:v>Fixed Deposits</c:v>
                </c:pt>
                <c:pt idx="3">
                  <c:v>Public Provident Fund</c:v>
                </c:pt>
              </c:strCache>
            </c:strRef>
          </c:cat>
          <c:val>
            <c:numRef>
              <c:f>Sheet3!$M$21:$M$25</c:f>
              <c:numCache>
                <c:formatCode>General</c:formatCode>
                <c:ptCount val="4"/>
                <c:pt idx="0">
                  <c:v>18</c:v>
                </c:pt>
                <c:pt idx="1">
                  <c:v>10</c:v>
                </c:pt>
                <c:pt idx="2">
                  <c:v>9</c:v>
                </c:pt>
                <c:pt idx="3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Sheet3!$N$20</c:f>
              <c:strCache>
                <c:ptCount val="1"/>
                <c:pt idx="0">
                  <c:v>Count of Reason_FD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Sheet3!$K$21:$K$25</c:f>
              <c:strCache>
                <c:ptCount val="4"/>
                <c:pt idx="0">
                  <c:v>Mutual Fund</c:v>
                </c:pt>
                <c:pt idx="1">
                  <c:v>Equity</c:v>
                </c:pt>
                <c:pt idx="2">
                  <c:v>Fixed Deposits</c:v>
                </c:pt>
                <c:pt idx="3">
                  <c:v>Public Provident Fund</c:v>
                </c:pt>
              </c:strCache>
            </c:strRef>
          </c:cat>
          <c:val>
            <c:numRef>
              <c:f>Sheet3!$N$21:$N$25</c:f>
              <c:numCache>
                <c:formatCode>General</c:formatCode>
                <c:ptCount val="4"/>
                <c:pt idx="0">
                  <c:v>18</c:v>
                </c:pt>
                <c:pt idx="1">
                  <c:v>10</c:v>
                </c:pt>
                <c:pt idx="2">
                  <c:v>9</c:v>
                </c:pt>
                <c:pt idx="3">
                  <c:v>3</c:v>
                </c:pt>
              </c:numCache>
            </c:numRef>
          </c:val>
        </c:ser>
        <c:ser>
          <c:idx val="3"/>
          <c:order val="3"/>
          <c:tx>
            <c:strRef>
              <c:f>Sheet3!$O$20</c:f>
              <c:strCache>
                <c:ptCount val="1"/>
                <c:pt idx="0">
                  <c:v>Count of Reason_Mutual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Sheet3!$K$21:$K$25</c:f>
              <c:strCache>
                <c:ptCount val="4"/>
                <c:pt idx="0">
                  <c:v>Mutual Fund</c:v>
                </c:pt>
                <c:pt idx="1">
                  <c:v>Equity</c:v>
                </c:pt>
                <c:pt idx="2">
                  <c:v>Fixed Deposits</c:v>
                </c:pt>
                <c:pt idx="3">
                  <c:v>Public Provident Fund</c:v>
                </c:pt>
              </c:strCache>
            </c:strRef>
          </c:cat>
          <c:val>
            <c:numRef>
              <c:f>Sheet3!$O$21:$O$25</c:f>
              <c:numCache>
                <c:formatCode>General</c:formatCode>
                <c:ptCount val="4"/>
                <c:pt idx="0">
                  <c:v>18</c:v>
                </c:pt>
                <c:pt idx="1">
                  <c:v>10</c:v>
                </c:pt>
                <c:pt idx="2">
                  <c:v>9</c:v>
                </c:pt>
                <c:pt idx="3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63980"/>
        <c:axId val="280177342"/>
      </c:barChart>
      <c:catAx>
        <c:axId val="1396398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0177342"/>
        <c:crosses val="autoZero"/>
        <c:auto val="1"/>
        <c:lblAlgn val="ctr"/>
        <c:lblOffset val="100"/>
        <c:noMultiLvlLbl val="0"/>
      </c:catAx>
      <c:valAx>
        <c:axId val="28017734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639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Tasks.xlsx]Sheet4!PivotTable1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/>
              <a:t>Distribution of savings objectives</a:t>
            </a:r>
            <a:endParaRPr lang="en-IN" altLang="en-US" sz="12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Sheet4!$B$4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Sheet4!$A$5:$A$8</c:f>
              <c:strCache>
                <c:ptCount val="3"/>
                <c:pt idx="0">
                  <c:v>Education</c:v>
                </c:pt>
                <c:pt idx="1">
                  <c:v>Health Care</c:v>
                </c:pt>
                <c:pt idx="2">
                  <c:v>Retirement Plan</c:v>
                </c:pt>
              </c:strCache>
            </c:strRef>
          </c:cat>
          <c:val>
            <c:numRef>
              <c:f>Sheet4!$B$5:$B$8</c:f>
              <c:numCache>
                <c:formatCode>General</c:formatCode>
                <c:ptCount val="3"/>
                <c:pt idx="0">
                  <c:v>3</c:v>
                </c:pt>
                <c:pt idx="1">
                  <c:v>13</c:v>
                </c:pt>
                <c:pt idx="2">
                  <c:v>24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151f2b-a35e-459e-a6c7-077730599b9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Tasks.xlsx]Sheet4!PivotTable2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/>
              <a:t>F</a:t>
            </a:r>
            <a:r>
              <a:rPr sz="1200"/>
              <a:t>requency of</a:t>
            </a:r>
            <a:r>
              <a:rPr lang="en-IN" altLang="en-US" sz="1200"/>
              <a:t> </a:t>
            </a:r>
            <a:r>
              <a:rPr sz="1200"/>
              <a:t>information source</a:t>
            </a:r>
            <a:r>
              <a:rPr lang="en-IN" altLang="en-US" sz="1200"/>
              <a:t>s</a:t>
            </a:r>
            <a:r>
              <a:rPr sz="1200"/>
              <a:t>.</a:t>
            </a:r>
            <a:endParaRPr sz="12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Sheet4!$G$4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Sheet4!$F$5:$F$9</c:f>
              <c:strCache>
                <c:ptCount val="4"/>
                <c:pt idx="0">
                  <c:v>Financial Consultants</c:v>
                </c:pt>
                <c:pt idx="1">
                  <c:v>Internet</c:v>
                </c:pt>
                <c:pt idx="2">
                  <c:v>Newspapers and Magazines</c:v>
                </c:pt>
                <c:pt idx="3">
                  <c:v>Television</c:v>
                </c:pt>
              </c:strCache>
            </c:strRef>
          </c:cat>
          <c:val>
            <c:numRef>
              <c:f>Sheet4!$G$5:$G$9</c:f>
              <c:numCache>
                <c:formatCode>General</c:formatCode>
                <c:ptCount val="4"/>
                <c:pt idx="0">
                  <c:v>16</c:v>
                </c:pt>
                <c:pt idx="1">
                  <c:v>4</c:v>
                </c:pt>
                <c:pt idx="2">
                  <c:v>14</c:v>
                </c:pt>
                <c:pt idx="3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100"/>
        <c:axId val="511598444"/>
        <c:axId val="163293238"/>
      </c:barChart>
      <c:catAx>
        <c:axId val="51159844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Sources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293238"/>
        <c:crosses val="autoZero"/>
        <c:auto val="1"/>
        <c:lblAlgn val="ctr"/>
        <c:lblOffset val="100"/>
        <c:noMultiLvlLbl val="0"/>
      </c:catAx>
      <c:valAx>
        <c:axId val="16329323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Frequency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15984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74a04b-c301-488c-bc49-0629b3a4b8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Tasks.xlsx]Sheet5!PivotTable3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D</a:t>
            </a:r>
            <a:r>
              <a:t>istribution of</a:t>
            </a:r>
            <a:r>
              <a:rPr lang="en-IN" altLang="en-US"/>
              <a:t> </a:t>
            </a:r>
            <a:r>
              <a:t>investment durations.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Sheet5!$B$5:$B$9</c:f>
              <c:strCache>
                <c:ptCount val="4"/>
                <c:pt idx="0">
                  <c:v>1-3 years</c:v>
                </c:pt>
                <c:pt idx="1">
                  <c:v>3-5 years</c:v>
                </c:pt>
                <c:pt idx="2">
                  <c:v>Less than 1 year</c:v>
                </c:pt>
                <c:pt idx="3">
                  <c:v>More than 5 years</c:v>
                </c:pt>
              </c:strCache>
            </c:strRef>
          </c:cat>
          <c:val>
            <c:numRef>
              <c:f>Sheet5!$C$5:$C$9</c:f>
              <c:numCache>
                <c:formatCode>General</c:formatCode>
                <c:ptCount val="4"/>
                <c:pt idx="0">
                  <c:v>18</c:v>
                </c:pt>
                <c:pt idx="1">
                  <c:v>19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0"/>
        <c:axId val="604127920"/>
        <c:axId val="973911796"/>
      </c:barChart>
      <c:catAx>
        <c:axId val="60412792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Investment Duration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3911796"/>
        <c:crosses val="autoZero"/>
        <c:auto val="1"/>
        <c:lblAlgn val="ctr"/>
        <c:lblOffset val="100"/>
        <c:noMultiLvlLbl val="0"/>
      </c:catAx>
      <c:valAx>
        <c:axId val="97391179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Number of participants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12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d2d9591-3501-45a2-823d-4ed16d377fc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Tasks.xlsx]Sheet5!PivotTable4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Investment return expectations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Sheet5!$K$4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160000" scaled="1"/>
              </a:gra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Sheet5!$J$5:$J$8</c:f>
              <c:strCache>
                <c:ptCount val="3"/>
                <c:pt idx="0">
                  <c:v>10%-20%</c:v>
                </c:pt>
                <c:pt idx="1">
                  <c:v>20%-30%</c:v>
                </c:pt>
                <c:pt idx="2">
                  <c:v>30%-40%</c:v>
                </c:pt>
              </c:strCache>
            </c:strRef>
          </c:cat>
          <c:val>
            <c:numRef>
              <c:f>Sheet5!$K$5:$K$8</c:f>
              <c:numCache>
                <c:formatCode>General</c:formatCode>
                <c:ptCount val="3"/>
                <c:pt idx="0">
                  <c:v>3</c:v>
                </c:pt>
                <c:pt idx="1">
                  <c:v>32</c:v>
                </c:pt>
                <c:pt idx="2">
                  <c:v>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80349984"/>
        <c:axId val="194029415"/>
      </c:radarChart>
      <c:catAx>
        <c:axId val="7803499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029415"/>
        <c:crosses val="autoZero"/>
        <c:auto val="1"/>
        <c:lblAlgn val="ctr"/>
        <c:lblOffset val="100"/>
        <c:noMultiLvlLbl val="0"/>
      </c:catAx>
      <c:valAx>
        <c:axId val="194029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034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8e1aff6-40ca-4d73-8682-88916aff4b9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Age vs Duration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Sheet6!$B$5</c:f>
              <c:strCache>
                <c:ptCount val="1"/>
                <c:pt idx="0">
                  <c:v>Duration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Sheet6!$A$6:$A$45</c:f>
              <c:numCache>
                <c:formatCode>General</c:formatCode>
                <c:ptCount val="40"/>
                <c:pt idx="0">
                  <c:v>34</c:v>
                </c:pt>
                <c:pt idx="1">
                  <c:v>23</c:v>
                </c:pt>
                <c:pt idx="2">
                  <c:v>30</c:v>
                </c:pt>
                <c:pt idx="3">
                  <c:v>22</c:v>
                </c:pt>
                <c:pt idx="4">
                  <c:v>24</c:v>
                </c:pt>
                <c:pt idx="5">
                  <c:v>24</c:v>
                </c:pt>
                <c:pt idx="6">
                  <c:v>27</c:v>
                </c:pt>
                <c:pt idx="7">
                  <c:v>21</c:v>
                </c:pt>
                <c:pt idx="8">
                  <c:v>35</c:v>
                </c:pt>
                <c:pt idx="9">
                  <c:v>31</c:v>
                </c:pt>
                <c:pt idx="10">
                  <c:v>35</c:v>
                </c:pt>
                <c:pt idx="11">
                  <c:v>29</c:v>
                </c:pt>
                <c:pt idx="12">
                  <c:v>21</c:v>
                </c:pt>
                <c:pt idx="13">
                  <c:v>28</c:v>
                </c:pt>
                <c:pt idx="14">
                  <c:v>25</c:v>
                </c:pt>
                <c:pt idx="15">
                  <c:v>27</c:v>
                </c:pt>
                <c:pt idx="16">
                  <c:v>28</c:v>
                </c:pt>
                <c:pt idx="17">
                  <c:v>27</c:v>
                </c:pt>
                <c:pt idx="18">
                  <c:v>29</c:v>
                </c:pt>
                <c:pt idx="19">
                  <c:v>26</c:v>
                </c:pt>
                <c:pt idx="20">
                  <c:v>29</c:v>
                </c:pt>
                <c:pt idx="21">
                  <c:v>24</c:v>
                </c:pt>
                <c:pt idx="22">
                  <c:v>27</c:v>
                </c:pt>
                <c:pt idx="23">
                  <c:v>25</c:v>
                </c:pt>
                <c:pt idx="24">
                  <c:v>26</c:v>
                </c:pt>
                <c:pt idx="25">
                  <c:v>32</c:v>
                </c:pt>
                <c:pt idx="26">
                  <c:v>26</c:v>
                </c:pt>
                <c:pt idx="27">
                  <c:v>31</c:v>
                </c:pt>
                <c:pt idx="28">
                  <c:v>29</c:v>
                </c:pt>
                <c:pt idx="29">
                  <c:v>34</c:v>
                </c:pt>
                <c:pt idx="30">
                  <c:v>27</c:v>
                </c:pt>
                <c:pt idx="31">
                  <c:v>31</c:v>
                </c:pt>
                <c:pt idx="32">
                  <c:v>27</c:v>
                </c:pt>
                <c:pt idx="33">
                  <c:v>26</c:v>
                </c:pt>
                <c:pt idx="34">
                  <c:v>27</c:v>
                </c:pt>
                <c:pt idx="35">
                  <c:v>30</c:v>
                </c:pt>
                <c:pt idx="36">
                  <c:v>30</c:v>
                </c:pt>
                <c:pt idx="37">
                  <c:v>25</c:v>
                </c:pt>
                <c:pt idx="38">
                  <c:v>31</c:v>
                </c:pt>
                <c:pt idx="39">
                  <c:v>29</c:v>
                </c:pt>
              </c:numCache>
            </c:numRef>
          </c:xVal>
          <c:yVal>
            <c:numRef>
              <c:f>Sheet6!$B$6:$B$45</c:f>
              <c:numCache>
                <c:formatCode>General</c:formatCode>
                <c:ptCount val="40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603381"/>
        <c:axId val="330508610"/>
      </c:scatterChart>
      <c:valAx>
        <c:axId val="96960338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Age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0508610"/>
        <c:crosses val="autoZero"/>
        <c:crossBetween val="midCat"/>
      </c:valAx>
      <c:valAx>
        <c:axId val="3305086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Duration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960338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8e8a127-2d21-45ae-ae7d-ad23f66683f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Age vs </a:t>
            </a:r>
            <a:r>
              <a:t>Expect</a:t>
            </a:r>
            <a:r>
              <a:rPr lang="en-IN" altLang="en-US"/>
              <a:t>ations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Sheet6!$AH$5</c:f>
              <c:strCache>
                <c:ptCount val="1"/>
                <c:pt idx="0">
                  <c:v>Expect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Sheet6!$AE$6:$AG$45</c:f>
              <c:numCache>
                <c:formatCode>General</c:formatCode>
                <c:ptCount val="40"/>
                <c:pt idx="0">
                  <c:v>34</c:v>
                </c:pt>
                <c:pt idx="1">
                  <c:v>23</c:v>
                </c:pt>
                <c:pt idx="2">
                  <c:v>30</c:v>
                </c:pt>
                <c:pt idx="3">
                  <c:v>22</c:v>
                </c:pt>
                <c:pt idx="4">
                  <c:v>24</c:v>
                </c:pt>
                <c:pt idx="5">
                  <c:v>24</c:v>
                </c:pt>
                <c:pt idx="6">
                  <c:v>27</c:v>
                </c:pt>
                <c:pt idx="7">
                  <c:v>21</c:v>
                </c:pt>
                <c:pt idx="8">
                  <c:v>35</c:v>
                </c:pt>
                <c:pt idx="9">
                  <c:v>31</c:v>
                </c:pt>
                <c:pt idx="10">
                  <c:v>35</c:v>
                </c:pt>
                <c:pt idx="11">
                  <c:v>29</c:v>
                </c:pt>
                <c:pt idx="12">
                  <c:v>21</c:v>
                </c:pt>
                <c:pt idx="13">
                  <c:v>28</c:v>
                </c:pt>
                <c:pt idx="14">
                  <c:v>25</c:v>
                </c:pt>
                <c:pt idx="15">
                  <c:v>27</c:v>
                </c:pt>
                <c:pt idx="16">
                  <c:v>28</c:v>
                </c:pt>
                <c:pt idx="17">
                  <c:v>27</c:v>
                </c:pt>
                <c:pt idx="18">
                  <c:v>29</c:v>
                </c:pt>
                <c:pt idx="19">
                  <c:v>26</c:v>
                </c:pt>
                <c:pt idx="20">
                  <c:v>29</c:v>
                </c:pt>
                <c:pt idx="21">
                  <c:v>24</c:v>
                </c:pt>
                <c:pt idx="22">
                  <c:v>27</c:v>
                </c:pt>
                <c:pt idx="23">
                  <c:v>25</c:v>
                </c:pt>
                <c:pt idx="24">
                  <c:v>26</c:v>
                </c:pt>
                <c:pt idx="25">
                  <c:v>32</c:v>
                </c:pt>
                <c:pt idx="26">
                  <c:v>26</c:v>
                </c:pt>
                <c:pt idx="27">
                  <c:v>31</c:v>
                </c:pt>
                <c:pt idx="28">
                  <c:v>29</c:v>
                </c:pt>
                <c:pt idx="29">
                  <c:v>34</c:v>
                </c:pt>
                <c:pt idx="30">
                  <c:v>27</c:v>
                </c:pt>
                <c:pt idx="31">
                  <c:v>31</c:v>
                </c:pt>
                <c:pt idx="32">
                  <c:v>27</c:v>
                </c:pt>
                <c:pt idx="33">
                  <c:v>26</c:v>
                </c:pt>
                <c:pt idx="34">
                  <c:v>27</c:v>
                </c:pt>
                <c:pt idx="35">
                  <c:v>30</c:v>
                </c:pt>
                <c:pt idx="36">
                  <c:v>30</c:v>
                </c:pt>
                <c:pt idx="37">
                  <c:v>25</c:v>
                </c:pt>
                <c:pt idx="38">
                  <c:v>31</c:v>
                </c:pt>
                <c:pt idx="39">
                  <c:v>29</c:v>
                </c:pt>
              </c:numCache>
            </c:numRef>
          </c:xVal>
          <c:yVal>
            <c:numRef>
              <c:f>Sheet6!$AH$6:$AH$45</c:f>
              <c:numCache>
                <c:formatCode>General</c:formatCode>
                <c:ptCount val="4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579206"/>
        <c:axId val="37712316"/>
      </c:scatterChart>
      <c:valAx>
        <c:axId val="54957920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age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712316"/>
        <c:crosses val="autoZero"/>
        <c:crossBetween val="midCat"/>
      </c:valAx>
      <c:valAx>
        <c:axId val="377123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Expectations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957920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2890dda-a3c0-4eb2-8e9a-595bba2923d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Duration vs Expectations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Sheet6!$C$5</c:f>
              <c:strCache>
                <c:ptCount val="1"/>
                <c:pt idx="0">
                  <c:v>Expect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Sheet6!$B$6:$B$45</c:f>
              <c:numCache>
                <c:formatCode>General</c:formatCode>
                <c:ptCount val="40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</c:numCache>
            </c:numRef>
          </c:xVal>
          <c:yVal>
            <c:numRef>
              <c:f>Sheet6!$C$6:$C$45</c:f>
              <c:numCache>
                <c:formatCode>General</c:formatCode>
                <c:ptCount val="4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51029"/>
        <c:axId val="133628339"/>
      </c:scatterChart>
      <c:valAx>
        <c:axId val="19765102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Duration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3628339"/>
        <c:crosses val="autoZero"/>
        <c:crossBetween val="midCat"/>
      </c:valAx>
      <c:valAx>
        <c:axId val="1336283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Expectations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65102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3c37f3-ec42-40c8-bcc5-b6261bb0dc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R</a:t>
            </a:r>
            <a:r>
              <a:t>elationship betweeninvestment duration and participants' expectations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ubbleChart>
        <c:varyColors val="0"/>
        <c:ser>
          <c:idx val="0"/>
          <c:order val="0"/>
          <c:tx>
            <c:strRef>
              <c:f>Sheet6!$C$5</c:f>
              <c:strCache>
                <c:ptCount val="1"/>
                <c:pt idx="0">
                  <c:v>Expect</c:v>
                </c:pt>
              </c:strCache>
            </c:strRef>
          </c:tx>
          <c:spPr>
            <a:solidFill>
              <a:schemeClr val="accent1"/>
            </a:solidFill>
            <a:ln w="19050" cap="rnd">
              <a:noFill/>
              <a:round/>
            </a:ln>
            <a:effectLst/>
          </c:spPr>
          <c:invertIfNegative val="0"/>
          <c:dLbls>
            <c:delete val="1"/>
          </c:dLbls>
          <c:xVal>
            <c:numRef>
              <c:f>Sheet6!$B$6:$B$45</c:f>
              <c:numCache>
                <c:formatCode>General</c:formatCode>
                <c:ptCount val="40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</c:numCache>
            </c:numRef>
          </c:xVal>
          <c:yVal>
            <c:numRef>
              <c:f>Sheet6!$C$6:$C$45</c:f>
              <c:numCache>
                <c:formatCode>General</c:formatCode>
                <c:ptCount val="4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2</c:v>
                </c:pt>
              </c:numCache>
            </c:numRef>
          </c:yVal>
          <c:bubbleSize>
            <c:numRef>
              <c:f>{1,1,1,1,1,1,1,1,1,1,1,1,1,1,1,1,1,1,1,1,1,1,1,1,1,1,1,1,1,1,1,1,1,1,1,1,1,1,1,1}</c:f>
              <c:numCache>
                <c:formatCode>General</c:formatCode>
                <c:ptCount val="4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</c:numCache>
            </c:numRef>
          </c:bubbleSize>
          <c:bubble3D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sizeRepresents val="area"/>
        <c:axId val="169966441"/>
        <c:axId val="275657991"/>
      </c:bubbleChart>
      <c:valAx>
        <c:axId val="16996644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Duration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5657991"/>
        <c:crosses val="autoZero"/>
        <c:crossBetween val="midCat"/>
      </c:valAx>
      <c:valAx>
        <c:axId val="275657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Expectations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996644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b4cec8a-a0e8-4743-ba15-c9d099dae6b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Tasks.xlsx]Sheet7!PivotTable13</c:name>
    <c:fmtId val="2"/>
  </c:pivotSource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Sheet7!$O$12:$O$13</c:f>
              <c:strCache>
                <c:ptCount val="1"/>
                <c:pt idx="0">
                  <c:v>Bonds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Sheet7!$N$14:$N$25</c:f>
              <c:strCache>
                <c:ptCount val="12"/>
                <c:pt idx="0">
                  <c:v>Sum of Capital Appreciation</c:v>
                </c:pt>
                <c:pt idx="1">
                  <c:v>Sum of Dividend</c:v>
                </c:pt>
                <c:pt idx="2">
                  <c:v>Sum of Liquidity</c:v>
                </c:pt>
                <c:pt idx="3">
                  <c:v>Sum of Better Returns</c:v>
                </c:pt>
                <c:pt idx="4">
                  <c:v>Sum of Fund Diversification</c:v>
                </c:pt>
                <c:pt idx="5">
                  <c:v>Sum of Tax Benefits</c:v>
                </c:pt>
                <c:pt idx="6">
                  <c:v>Sum of Assured Returns</c:v>
                </c:pt>
                <c:pt idx="7">
                  <c:v>Sum of Safe Investment</c:v>
                </c:pt>
                <c:pt idx="8">
                  <c:v>Sum of Tax Incentives</c:v>
                </c:pt>
                <c:pt idx="9">
                  <c:v>Sum of Fixed Returns</c:v>
                </c:pt>
                <c:pt idx="10">
                  <c:v>Sum of High Interest Rates</c:v>
                </c:pt>
                <c:pt idx="11">
                  <c:v>Sum of Risk Free</c:v>
                </c:pt>
              </c:strCache>
            </c:strRef>
          </c:cat>
          <c:val>
            <c:numRef>
              <c:f>Sheet7!$O$14:$O$25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26</c:v>
                </c:pt>
                <c:pt idx="7">
                  <c:v>13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Sheet7!$P$12:$P$13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Sheet7!$N$14:$N$25</c:f>
              <c:strCache>
                <c:ptCount val="12"/>
                <c:pt idx="0">
                  <c:v>Sum of Capital Appreciation</c:v>
                </c:pt>
                <c:pt idx="1">
                  <c:v>Sum of Dividend</c:v>
                </c:pt>
                <c:pt idx="2">
                  <c:v>Sum of Liquidity</c:v>
                </c:pt>
                <c:pt idx="3">
                  <c:v>Sum of Better Returns</c:v>
                </c:pt>
                <c:pt idx="4">
                  <c:v>Sum of Fund Diversification</c:v>
                </c:pt>
                <c:pt idx="5">
                  <c:v>Sum of Tax Benefits</c:v>
                </c:pt>
                <c:pt idx="6">
                  <c:v>Sum of Assured Returns</c:v>
                </c:pt>
                <c:pt idx="7">
                  <c:v>Sum of Safe Investment</c:v>
                </c:pt>
                <c:pt idx="8">
                  <c:v>Sum of Tax Incentives</c:v>
                </c:pt>
                <c:pt idx="9">
                  <c:v>Sum of Fixed Returns</c:v>
                </c:pt>
                <c:pt idx="10">
                  <c:v>Sum of High Interest Rates</c:v>
                </c:pt>
                <c:pt idx="11">
                  <c:v>Sum of Risk Free</c:v>
                </c:pt>
              </c:strCache>
            </c:strRef>
          </c:cat>
          <c:val>
            <c:numRef>
              <c:f>Sheet7!$P$14:$P$25</c:f>
              <c:numCache>
                <c:formatCode>General</c:formatCode>
                <c:ptCount val="12"/>
                <c:pt idx="0">
                  <c:v>30</c:v>
                </c:pt>
                <c:pt idx="1">
                  <c:v>8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Sheet7!$Q$12:$Q$13</c:f>
              <c:strCache>
                <c:ptCount val="1"/>
                <c:pt idx="0">
                  <c:v>FD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Sheet7!$N$14:$N$25</c:f>
              <c:strCache>
                <c:ptCount val="12"/>
                <c:pt idx="0">
                  <c:v>Sum of Capital Appreciation</c:v>
                </c:pt>
                <c:pt idx="1">
                  <c:v>Sum of Dividend</c:v>
                </c:pt>
                <c:pt idx="2">
                  <c:v>Sum of Liquidity</c:v>
                </c:pt>
                <c:pt idx="3">
                  <c:v>Sum of Better Returns</c:v>
                </c:pt>
                <c:pt idx="4">
                  <c:v>Sum of Fund Diversification</c:v>
                </c:pt>
                <c:pt idx="5">
                  <c:v>Sum of Tax Benefits</c:v>
                </c:pt>
                <c:pt idx="6">
                  <c:v>Sum of Assured Returns</c:v>
                </c:pt>
                <c:pt idx="7">
                  <c:v>Sum of Safe Investment</c:v>
                </c:pt>
                <c:pt idx="8">
                  <c:v>Sum of Tax Incentives</c:v>
                </c:pt>
                <c:pt idx="9">
                  <c:v>Sum of Fixed Returns</c:v>
                </c:pt>
                <c:pt idx="10">
                  <c:v>Sum of High Interest Rates</c:v>
                </c:pt>
                <c:pt idx="11">
                  <c:v>Sum of Risk Free</c:v>
                </c:pt>
              </c:strCache>
            </c:strRef>
          </c:cat>
          <c:val>
            <c:numRef>
              <c:f>Sheet7!$Q$14:$Q$25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</c:v>
                </c:pt>
                <c:pt idx="10">
                  <c:v>3</c:v>
                </c:pt>
                <c:pt idx="11">
                  <c:v>19</c:v>
                </c:pt>
              </c:numCache>
            </c:numRef>
          </c:val>
        </c:ser>
        <c:ser>
          <c:idx val="3"/>
          <c:order val="3"/>
          <c:tx>
            <c:strRef>
              <c:f>Sheet7!$R$12:$R$13</c:f>
              <c:strCache>
                <c:ptCount val="1"/>
                <c:pt idx="0">
                  <c:v>Mutual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Sheet7!$N$14:$N$25</c:f>
              <c:strCache>
                <c:ptCount val="12"/>
                <c:pt idx="0">
                  <c:v>Sum of Capital Appreciation</c:v>
                </c:pt>
                <c:pt idx="1">
                  <c:v>Sum of Dividend</c:v>
                </c:pt>
                <c:pt idx="2">
                  <c:v>Sum of Liquidity</c:v>
                </c:pt>
                <c:pt idx="3">
                  <c:v>Sum of Better Returns</c:v>
                </c:pt>
                <c:pt idx="4">
                  <c:v>Sum of Fund Diversification</c:v>
                </c:pt>
                <c:pt idx="5">
                  <c:v>Sum of Tax Benefits</c:v>
                </c:pt>
                <c:pt idx="6">
                  <c:v>Sum of Assured Returns</c:v>
                </c:pt>
                <c:pt idx="7">
                  <c:v>Sum of Safe Investment</c:v>
                </c:pt>
                <c:pt idx="8">
                  <c:v>Sum of Tax Incentives</c:v>
                </c:pt>
                <c:pt idx="9">
                  <c:v>Sum of Fixed Returns</c:v>
                </c:pt>
                <c:pt idx="10">
                  <c:v>Sum of High Interest Rates</c:v>
                </c:pt>
                <c:pt idx="11">
                  <c:v>Sum of Risk Free</c:v>
                </c:pt>
              </c:strCache>
            </c:strRef>
          </c:cat>
          <c:val>
            <c:numRef>
              <c:f>Sheet7!$R$14:$R$25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13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394100989"/>
        <c:axId val="91779236"/>
      </c:barChart>
      <c:catAx>
        <c:axId val="39410098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79236"/>
        <c:crosses val="autoZero"/>
        <c:auto val="1"/>
        <c:lblAlgn val="ctr"/>
        <c:lblOffset val="100"/>
        <c:noMultiLvlLbl val="0"/>
      </c:catAx>
      <c:valAx>
        <c:axId val="917792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410098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Tasks.xlsx]Sheet4!PivotTable1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/>
              <a:t>Distribution of savings objectives</a:t>
            </a:r>
            <a:endParaRPr lang="en-IN" altLang="en-US" sz="12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Sheet4!$B$4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Sheet4!$A$5:$A$8</c:f>
              <c:strCache>
                <c:ptCount val="3"/>
                <c:pt idx="0">
                  <c:v>Education</c:v>
                </c:pt>
                <c:pt idx="1">
                  <c:v>Health Care</c:v>
                </c:pt>
                <c:pt idx="2">
                  <c:v>Retirement Plan</c:v>
                </c:pt>
              </c:strCache>
            </c:strRef>
          </c:cat>
          <c:val>
            <c:numRef>
              <c:f>Sheet4!$B$5:$B$8</c:f>
              <c:numCache>
                <c:formatCode>General</c:formatCode>
                <c:ptCount val="3"/>
                <c:pt idx="0">
                  <c:v>3</c:v>
                </c:pt>
                <c:pt idx="1">
                  <c:v>13</c:v>
                </c:pt>
                <c:pt idx="2">
                  <c:v>24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151f2b-a35e-459e-a6c7-077730599b9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Tasks.xlsx]Sheet4!PivotTable2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/>
              <a:t>F</a:t>
            </a:r>
            <a:r>
              <a:rPr sz="1200"/>
              <a:t>requency of</a:t>
            </a:r>
            <a:r>
              <a:rPr lang="en-IN" altLang="en-US" sz="1200"/>
              <a:t> </a:t>
            </a:r>
            <a:r>
              <a:rPr sz="1200"/>
              <a:t>information source</a:t>
            </a:r>
            <a:r>
              <a:rPr lang="en-IN" altLang="en-US" sz="1200"/>
              <a:t>s</a:t>
            </a:r>
            <a:r>
              <a:rPr sz="1200"/>
              <a:t>.</a:t>
            </a:r>
            <a:endParaRPr sz="12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Sheet4!$G$4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Sheet4!$F$5:$F$9</c:f>
              <c:strCache>
                <c:ptCount val="4"/>
                <c:pt idx="0">
                  <c:v>Financial Consultants</c:v>
                </c:pt>
                <c:pt idx="1">
                  <c:v>Internet</c:v>
                </c:pt>
                <c:pt idx="2">
                  <c:v>Newspapers and Magazines</c:v>
                </c:pt>
                <c:pt idx="3">
                  <c:v>Television</c:v>
                </c:pt>
              </c:strCache>
            </c:strRef>
          </c:cat>
          <c:val>
            <c:numRef>
              <c:f>Sheet4!$G$5:$G$9</c:f>
              <c:numCache>
                <c:formatCode>General</c:formatCode>
                <c:ptCount val="4"/>
                <c:pt idx="0">
                  <c:v>16</c:v>
                </c:pt>
                <c:pt idx="1">
                  <c:v>4</c:v>
                </c:pt>
                <c:pt idx="2">
                  <c:v>14</c:v>
                </c:pt>
                <c:pt idx="3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100"/>
        <c:axId val="511598444"/>
        <c:axId val="163293238"/>
      </c:barChart>
      <c:catAx>
        <c:axId val="51159844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Sources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293238"/>
        <c:crosses val="autoZero"/>
        <c:auto val="1"/>
        <c:lblAlgn val="ctr"/>
        <c:lblOffset val="100"/>
        <c:noMultiLvlLbl val="0"/>
      </c:catAx>
      <c:valAx>
        <c:axId val="16329323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Frequency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15984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74a04b-c301-488c-bc49-0629b3a4b8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Tasks.xlsx]Sheet5!PivotTable3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D</a:t>
            </a:r>
            <a:r>
              <a:t>istribution of</a:t>
            </a:r>
            <a:r>
              <a:rPr lang="en-IN" altLang="en-US"/>
              <a:t> </a:t>
            </a:r>
            <a:r>
              <a:t>investment durations.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Sheet5!$B$5:$B$9</c:f>
              <c:strCache>
                <c:ptCount val="4"/>
                <c:pt idx="0">
                  <c:v>1-3 years</c:v>
                </c:pt>
                <c:pt idx="1">
                  <c:v>3-5 years</c:v>
                </c:pt>
                <c:pt idx="2">
                  <c:v>Less than 1 year</c:v>
                </c:pt>
                <c:pt idx="3">
                  <c:v>More than 5 years</c:v>
                </c:pt>
              </c:strCache>
            </c:strRef>
          </c:cat>
          <c:val>
            <c:numRef>
              <c:f>Sheet5!$C$5:$C$9</c:f>
              <c:numCache>
                <c:formatCode>General</c:formatCode>
                <c:ptCount val="4"/>
                <c:pt idx="0">
                  <c:v>18</c:v>
                </c:pt>
                <c:pt idx="1">
                  <c:v>19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0"/>
        <c:axId val="604127920"/>
        <c:axId val="973911796"/>
      </c:barChart>
      <c:catAx>
        <c:axId val="60412792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Investment Duration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3911796"/>
        <c:crosses val="autoZero"/>
        <c:auto val="1"/>
        <c:lblAlgn val="ctr"/>
        <c:lblOffset val="100"/>
        <c:noMultiLvlLbl val="0"/>
      </c:catAx>
      <c:valAx>
        <c:axId val="97391179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Number of participants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12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d2d9591-3501-45a2-823d-4ed16d377fc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Tasks.xlsx]Sheet5!PivotTable4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Investment return expectations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Sheet5!$K$4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160000" scaled="1"/>
              </a:gra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Sheet5!$J$5:$J$8</c:f>
              <c:strCache>
                <c:ptCount val="3"/>
                <c:pt idx="0">
                  <c:v>10%-20%</c:v>
                </c:pt>
                <c:pt idx="1">
                  <c:v>20%-30%</c:v>
                </c:pt>
                <c:pt idx="2">
                  <c:v>30%-40%</c:v>
                </c:pt>
              </c:strCache>
            </c:strRef>
          </c:cat>
          <c:val>
            <c:numRef>
              <c:f>Sheet5!$K$5:$K$8</c:f>
              <c:numCache>
                <c:formatCode>General</c:formatCode>
                <c:ptCount val="3"/>
                <c:pt idx="0">
                  <c:v>3</c:v>
                </c:pt>
                <c:pt idx="1">
                  <c:v>32</c:v>
                </c:pt>
                <c:pt idx="2">
                  <c:v>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80349984"/>
        <c:axId val="194029415"/>
      </c:radarChart>
      <c:catAx>
        <c:axId val="7803499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029415"/>
        <c:crosses val="autoZero"/>
        <c:auto val="1"/>
        <c:lblAlgn val="ctr"/>
        <c:lblOffset val="100"/>
        <c:noMultiLvlLbl val="0"/>
      </c:catAx>
      <c:valAx>
        <c:axId val="194029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034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8e1aff6-40ca-4d73-8682-88916aff4b9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Tasks.xlsx]Sheet7!PivotTable13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Investment Reasons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Sheet7!$O$12:$O$13</c:f>
              <c:strCache>
                <c:ptCount val="1"/>
                <c:pt idx="0">
                  <c:v>Bonds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Sheet7!$N$14:$N$25</c:f>
              <c:strCache>
                <c:ptCount val="12"/>
                <c:pt idx="0">
                  <c:v>Sum of Capital Appreciation</c:v>
                </c:pt>
                <c:pt idx="1">
                  <c:v>Sum of Dividend</c:v>
                </c:pt>
                <c:pt idx="2">
                  <c:v>Sum of Liquidity</c:v>
                </c:pt>
                <c:pt idx="3">
                  <c:v>Sum of Better Returns</c:v>
                </c:pt>
                <c:pt idx="4">
                  <c:v>Sum of Fund Diversification</c:v>
                </c:pt>
                <c:pt idx="5">
                  <c:v>Sum of Tax Benefits</c:v>
                </c:pt>
                <c:pt idx="6">
                  <c:v>Sum of Assured Returns</c:v>
                </c:pt>
                <c:pt idx="7">
                  <c:v>Sum of Safe Investment</c:v>
                </c:pt>
                <c:pt idx="8">
                  <c:v>Sum of Tax Incentives</c:v>
                </c:pt>
                <c:pt idx="9">
                  <c:v>Sum of Fixed Returns</c:v>
                </c:pt>
                <c:pt idx="10">
                  <c:v>Sum of High Interest Rates</c:v>
                </c:pt>
                <c:pt idx="11">
                  <c:v>Sum of Risk Free</c:v>
                </c:pt>
              </c:strCache>
            </c:strRef>
          </c:cat>
          <c:val>
            <c:numRef>
              <c:f>Sheet7!$O$14:$O$25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26</c:v>
                </c:pt>
                <c:pt idx="7">
                  <c:v>13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Sheet7!$P$12:$P$13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Sheet7!$N$14:$N$25</c:f>
              <c:strCache>
                <c:ptCount val="12"/>
                <c:pt idx="0">
                  <c:v>Sum of Capital Appreciation</c:v>
                </c:pt>
                <c:pt idx="1">
                  <c:v>Sum of Dividend</c:v>
                </c:pt>
                <c:pt idx="2">
                  <c:v>Sum of Liquidity</c:v>
                </c:pt>
                <c:pt idx="3">
                  <c:v>Sum of Better Returns</c:v>
                </c:pt>
                <c:pt idx="4">
                  <c:v>Sum of Fund Diversification</c:v>
                </c:pt>
                <c:pt idx="5">
                  <c:v>Sum of Tax Benefits</c:v>
                </c:pt>
                <c:pt idx="6">
                  <c:v>Sum of Assured Returns</c:v>
                </c:pt>
                <c:pt idx="7">
                  <c:v>Sum of Safe Investment</c:v>
                </c:pt>
                <c:pt idx="8">
                  <c:v>Sum of Tax Incentives</c:v>
                </c:pt>
                <c:pt idx="9">
                  <c:v>Sum of Fixed Returns</c:v>
                </c:pt>
                <c:pt idx="10">
                  <c:v>Sum of High Interest Rates</c:v>
                </c:pt>
                <c:pt idx="11">
                  <c:v>Sum of Risk Free</c:v>
                </c:pt>
              </c:strCache>
            </c:strRef>
          </c:cat>
          <c:val>
            <c:numRef>
              <c:f>Sheet7!$P$14:$P$25</c:f>
              <c:numCache>
                <c:formatCode>General</c:formatCode>
                <c:ptCount val="12"/>
                <c:pt idx="0">
                  <c:v>30</c:v>
                </c:pt>
                <c:pt idx="1">
                  <c:v>8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Sheet7!$Q$12:$Q$13</c:f>
              <c:strCache>
                <c:ptCount val="1"/>
                <c:pt idx="0">
                  <c:v>FD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Sheet7!$N$14:$N$25</c:f>
              <c:strCache>
                <c:ptCount val="12"/>
                <c:pt idx="0">
                  <c:v>Sum of Capital Appreciation</c:v>
                </c:pt>
                <c:pt idx="1">
                  <c:v>Sum of Dividend</c:v>
                </c:pt>
                <c:pt idx="2">
                  <c:v>Sum of Liquidity</c:v>
                </c:pt>
                <c:pt idx="3">
                  <c:v>Sum of Better Returns</c:v>
                </c:pt>
                <c:pt idx="4">
                  <c:v>Sum of Fund Diversification</c:v>
                </c:pt>
                <c:pt idx="5">
                  <c:v>Sum of Tax Benefits</c:v>
                </c:pt>
                <c:pt idx="6">
                  <c:v>Sum of Assured Returns</c:v>
                </c:pt>
                <c:pt idx="7">
                  <c:v>Sum of Safe Investment</c:v>
                </c:pt>
                <c:pt idx="8">
                  <c:v>Sum of Tax Incentives</c:v>
                </c:pt>
                <c:pt idx="9">
                  <c:v>Sum of Fixed Returns</c:v>
                </c:pt>
                <c:pt idx="10">
                  <c:v>Sum of High Interest Rates</c:v>
                </c:pt>
                <c:pt idx="11">
                  <c:v>Sum of Risk Free</c:v>
                </c:pt>
              </c:strCache>
            </c:strRef>
          </c:cat>
          <c:val>
            <c:numRef>
              <c:f>Sheet7!$Q$14:$Q$25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</c:v>
                </c:pt>
                <c:pt idx="10">
                  <c:v>3</c:v>
                </c:pt>
                <c:pt idx="11">
                  <c:v>19</c:v>
                </c:pt>
              </c:numCache>
            </c:numRef>
          </c:val>
        </c:ser>
        <c:ser>
          <c:idx val="3"/>
          <c:order val="3"/>
          <c:tx>
            <c:strRef>
              <c:f>Sheet7!$R$12:$R$13</c:f>
              <c:strCache>
                <c:ptCount val="1"/>
                <c:pt idx="0">
                  <c:v>Mutual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Sheet7!$N$14:$N$25</c:f>
              <c:strCache>
                <c:ptCount val="12"/>
                <c:pt idx="0">
                  <c:v>Sum of Capital Appreciation</c:v>
                </c:pt>
                <c:pt idx="1">
                  <c:v>Sum of Dividend</c:v>
                </c:pt>
                <c:pt idx="2">
                  <c:v>Sum of Liquidity</c:v>
                </c:pt>
                <c:pt idx="3">
                  <c:v>Sum of Better Returns</c:v>
                </c:pt>
                <c:pt idx="4">
                  <c:v>Sum of Fund Diversification</c:v>
                </c:pt>
                <c:pt idx="5">
                  <c:v>Sum of Tax Benefits</c:v>
                </c:pt>
                <c:pt idx="6">
                  <c:v>Sum of Assured Returns</c:v>
                </c:pt>
                <c:pt idx="7">
                  <c:v>Sum of Safe Investment</c:v>
                </c:pt>
                <c:pt idx="8">
                  <c:v>Sum of Tax Incentives</c:v>
                </c:pt>
                <c:pt idx="9">
                  <c:v>Sum of Fixed Returns</c:v>
                </c:pt>
                <c:pt idx="10">
                  <c:v>Sum of High Interest Rates</c:v>
                </c:pt>
                <c:pt idx="11">
                  <c:v>Sum of Risk Free</c:v>
                </c:pt>
              </c:strCache>
            </c:strRef>
          </c:cat>
          <c:val>
            <c:numRef>
              <c:f>Sheet7!$R$14:$R$25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13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100"/>
        <c:axId val="394100989"/>
        <c:axId val="91779236"/>
      </c:barChart>
      <c:catAx>
        <c:axId val="39410098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79236"/>
        <c:crosses val="autoZero"/>
        <c:auto val="1"/>
        <c:lblAlgn val="ctr"/>
        <c:lblOffset val="100"/>
        <c:noMultiLvlLbl val="0"/>
      </c:catAx>
      <c:valAx>
        <c:axId val="917792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410098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45a26f-2095-4931-ac6f-a9c5e0dea43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2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2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0">
              <a:schemeClr val="phClr">
                <a:hueOff val="-1670000"/>
              </a:schemeClr>
            </a:gs>
            <a:gs pos="100000">
              <a:schemeClr val="phClr"/>
            </a:gs>
          </a:gsLst>
          <a:lin ang="516000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2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0">
              <a:schemeClr val="phClr">
                <a:hueOff val="-1670000"/>
              </a:schemeClr>
            </a:gs>
            <a:gs pos="100000">
              <a:schemeClr val="phClr"/>
            </a:gs>
          </a:gsLst>
          <a:lin ang="516000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8.xml"/><Relationship Id="rId4" Type="http://schemas.openxmlformats.org/officeDocument/2006/relationships/chart" Target="../charts/chart17.xml"/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224790</xdr:colOff>
      <xdr:row>11</xdr:row>
      <xdr:rowOff>83185</xdr:rowOff>
    </xdr:from>
    <xdr:to>
      <xdr:col>7</xdr:col>
      <xdr:colOff>487045</xdr:colOff>
      <xdr:row>24</xdr:row>
      <xdr:rowOff>150495</xdr:rowOff>
    </xdr:to>
    <xdr:graphicFrame>
      <xdr:nvGraphicFramePr>
        <xdr:cNvPr id="3" name="Chart 2"/>
        <xdr:cNvGraphicFramePr/>
      </xdr:nvGraphicFramePr>
      <xdr:xfrm>
        <a:off x="1673225" y="2685415"/>
        <a:ext cx="3892550" cy="2444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449580</xdr:colOff>
      <xdr:row>12</xdr:row>
      <xdr:rowOff>137160</xdr:rowOff>
    </xdr:from>
    <xdr:to>
      <xdr:col>3</xdr:col>
      <xdr:colOff>1600835</xdr:colOff>
      <xdr:row>22</xdr:row>
      <xdr:rowOff>109220</xdr:rowOff>
    </xdr:to>
    <xdr:graphicFrame>
      <xdr:nvGraphicFramePr>
        <xdr:cNvPr id="2" name="Chart 1"/>
        <xdr:cNvGraphicFramePr/>
      </xdr:nvGraphicFramePr>
      <xdr:xfrm>
        <a:off x="449580" y="2415540"/>
        <a:ext cx="4283075" cy="188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12065</xdr:colOff>
      <xdr:row>19</xdr:row>
      <xdr:rowOff>8890</xdr:rowOff>
    </xdr:from>
    <xdr:to>
      <xdr:col>8</xdr:col>
      <xdr:colOff>417830</xdr:colOff>
      <xdr:row>35</xdr:row>
      <xdr:rowOff>103505</xdr:rowOff>
    </xdr:to>
    <xdr:graphicFrame>
      <xdr:nvGraphicFramePr>
        <xdr:cNvPr id="7" name="Chart 6"/>
        <xdr:cNvGraphicFramePr/>
      </xdr:nvGraphicFramePr>
      <xdr:xfrm>
        <a:off x="5071745" y="3651250"/>
        <a:ext cx="6181725" cy="3020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1486535</xdr:colOff>
      <xdr:row>3</xdr:row>
      <xdr:rowOff>158115</xdr:rowOff>
    </xdr:from>
    <xdr:to>
      <xdr:col>9</xdr:col>
      <xdr:colOff>460375</xdr:colOff>
      <xdr:row>17</xdr:row>
      <xdr:rowOff>173355</xdr:rowOff>
    </xdr:to>
    <xdr:graphicFrame>
      <xdr:nvGraphicFramePr>
        <xdr:cNvPr id="3" name="Chart 2"/>
        <xdr:cNvGraphicFramePr/>
      </xdr:nvGraphicFramePr>
      <xdr:xfrm>
        <a:off x="7826375" y="70675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381000</xdr:colOff>
      <xdr:row>8</xdr:row>
      <xdr:rowOff>180340</xdr:rowOff>
    </xdr:from>
    <xdr:to>
      <xdr:col>1</xdr:col>
      <xdr:colOff>2829560</xdr:colOff>
      <xdr:row>23</xdr:row>
      <xdr:rowOff>180340</xdr:rowOff>
    </xdr:to>
    <xdr:graphicFrame>
      <xdr:nvGraphicFramePr>
        <xdr:cNvPr id="2" name="Chart 1"/>
        <xdr:cNvGraphicFramePr/>
      </xdr:nvGraphicFramePr>
      <xdr:xfrm>
        <a:off x="381000" y="16433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297180</xdr:colOff>
      <xdr:row>10</xdr:row>
      <xdr:rowOff>27940</xdr:rowOff>
    </xdr:from>
    <xdr:to>
      <xdr:col>7</xdr:col>
      <xdr:colOff>428625</xdr:colOff>
      <xdr:row>21</xdr:row>
      <xdr:rowOff>43180</xdr:rowOff>
    </xdr:to>
    <xdr:graphicFrame>
      <xdr:nvGraphicFramePr>
        <xdr:cNvPr id="3" name="Chart 2"/>
        <xdr:cNvGraphicFramePr/>
      </xdr:nvGraphicFramePr>
      <xdr:xfrm>
        <a:off x="6126480" y="1856740"/>
        <a:ext cx="4215765" cy="2026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556260</xdr:colOff>
      <xdr:row>10</xdr:row>
      <xdr:rowOff>27940</xdr:rowOff>
    </xdr:from>
    <xdr:to>
      <xdr:col>6</xdr:col>
      <xdr:colOff>92075</xdr:colOff>
      <xdr:row>26</xdr:row>
      <xdr:rowOff>43180</xdr:rowOff>
    </xdr:to>
    <xdr:graphicFrame>
      <xdr:nvGraphicFramePr>
        <xdr:cNvPr id="2" name="Chart 1"/>
        <xdr:cNvGraphicFramePr/>
      </xdr:nvGraphicFramePr>
      <xdr:xfrm>
        <a:off x="556260" y="1856740"/>
        <a:ext cx="4366895" cy="2941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289560</xdr:colOff>
      <xdr:row>10</xdr:row>
      <xdr:rowOff>80645</xdr:rowOff>
    </xdr:from>
    <xdr:to>
      <xdr:col>13</xdr:col>
      <xdr:colOff>299720</xdr:colOff>
      <xdr:row>25</xdr:row>
      <xdr:rowOff>73660</xdr:rowOff>
    </xdr:to>
    <xdr:graphicFrame>
      <xdr:nvGraphicFramePr>
        <xdr:cNvPr id="3" name="Chart 2"/>
        <xdr:cNvGraphicFramePr/>
      </xdr:nvGraphicFramePr>
      <xdr:xfrm>
        <a:off x="5730240" y="1909445"/>
        <a:ext cx="4323080" cy="2736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266065</xdr:colOff>
      <xdr:row>20</xdr:row>
      <xdr:rowOff>101600</xdr:rowOff>
    </xdr:from>
    <xdr:to>
      <xdr:col>11</xdr:col>
      <xdr:colOff>599440</xdr:colOff>
      <xdr:row>34</xdr:row>
      <xdr:rowOff>86360</xdr:rowOff>
    </xdr:to>
    <xdr:graphicFrame>
      <xdr:nvGraphicFramePr>
        <xdr:cNvPr id="11" name="Chart 10"/>
        <xdr:cNvGraphicFramePr/>
      </xdr:nvGraphicFramePr>
      <xdr:xfrm>
        <a:off x="2094865" y="3936365"/>
        <a:ext cx="5713095" cy="26784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257810</xdr:colOff>
      <xdr:row>20</xdr:row>
      <xdr:rowOff>147955</xdr:rowOff>
    </xdr:from>
    <xdr:to>
      <xdr:col>22</xdr:col>
      <xdr:colOff>207010</xdr:colOff>
      <xdr:row>35</xdr:row>
      <xdr:rowOff>147320</xdr:rowOff>
    </xdr:to>
    <xdr:graphicFrame>
      <xdr:nvGraphicFramePr>
        <xdr:cNvPr id="13" name="Chart 12"/>
        <xdr:cNvGraphicFramePr/>
      </xdr:nvGraphicFramePr>
      <xdr:xfrm>
        <a:off x="8350250" y="3982720"/>
        <a:ext cx="604520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299085</xdr:colOff>
      <xdr:row>6</xdr:row>
      <xdr:rowOff>10795</xdr:rowOff>
    </xdr:from>
    <xdr:to>
      <xdr:col>19</xdr:col>
      <xdr:colOff>452120</xdr:colOff>
      <xdr:row>19</xdr:row>
      <xdr:rowOff>73660</xdr:rowOff>
    </xdr:to>
    <xdr:graphicFrame>
      <xdr:nvGraphicFramePr>
        <xdr:cNvPr id="14" name="Chart 13"/>
        <xdr:cNvGraphicFramePr/>
      </xdr:nvGraphicFramePr>
      <xdr:xfrm>
        <a:off x="8391525" y="1151890"/>
        <a:ext cx="4420235" cy="2564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129540</xdr:colOff>
      <xdr:row>1</xdr:row>
      <xdr:rowOff>131445</xdr:rowOff>
    </xdr:from>
    <xdr:to>
      <xdr:col>28</xdr:col>
      <xdr:colOff>360680</xdr:colOff>
      <xdr:row>19</xdr:row>
      <xdr:rowOff>146050</xdr:rowOff>
    </xdr:to>
    <xdr:graphicFrame>
      <xdr:nvGraphicFramePr>
        <xdr:cNvPr id="19" name="Chart 18"/>
        <xdr:cNvGraphicFramePr/>
      </xdr:nvGraphicFramePr>
      <xdr:xfrm>
        <a:off x="13098780" y="314325"/>
        <a:ext cx="5107940" cy="3474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1572895</xdr:colOff>
      <xdr:row>11</xdr:row>
      <xdr:rowOff>3175</xdr:rowOff>
    </xdr:from>
    <xdr:to>
      <xdr:col>22</xdr:col>
      <xdr:colOff>1049655</xdr:colOff>
      <xdr:row>25</xdr:row>
      <xdr:rowOff>102235</xdr:rowOff>
    </xdr:to>
    <xdr:graphicFrame>
      <xdr:nvGraphicFramePr>
        <xdr:cNvPr id="5" name="Chart 4"/>
        <xdr:cNvGraphicFramePr/>
      </xdr:nvGraphicFramePr>
      <xdr:xfrm>
        <a:off x="27595830" y="20986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264160</xdr:colOff>
      <xdr:row>0</xdr:row>
      <xdr:rowOff>69850</xdr:rowOff>
    </xdr:from>
    <xdr:to>
      <xdr:col>5</xdr:col>
      <xdr:colOff>213995</xdr:colOff>
      <xdr:row>11</xdr:row>
      <xdr:rowOff>107950</xdr:rowOff>
    </xdr:to>
    <xdr:graphicFrame>
      <xdr:nvGraphicFramePr>
        <xdr:cNvPr id="3" name="Chart 2"/>
        <xdr:cNvGraphicFramePr/>
      </xdr:nvGraphicFramePr>
      <xdr:xfrm>
        <a:off x="264160" y="69850"/>
        <a:ext cx="2997835" cy="2049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429260</xdr:colOff>
      <xdr:row>0</xdr:row>
      <xdr:rowOff>85090</xdr:rowOff>
    </xdr:from>
    <xdr:to>
      <xdr:col>10</xdr:col>
      <xdr:colOff>601980</xdr:colOff>
      <xdr:row>11</xdr:row>
      <xdr:rowOff>104775</xdr:rowOff>
    </xdr:to>
    <xdr:graphicFrame>
      <xdr:nvGraphicFramePr>
        <xdr:cNvPr id="4" name="Chart 3"/>
        <xdr:cNvGraphicFramePr/>
      </xdr:nvGraphicFramePr>
      <xdr:xfrm>
        <a:off x="3477260" y="85090"/>
        <a:ext cx="3220720" cy="2031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365760</xdr:colOff>
      <xdr:row>11</xdr:row>
      <xdr:rowOff>165735</xdr:rowOff>
    </xdr:from>
    <xdr:to>
      <xdr:col>15</xdr:col>
      <xdr:colOff>229870</xdr:colOff>
      <xdr:row>26</xdr:row>
      <xdr:rowOff>152400</xdr:rowOff>
    </xdr:to>
    <xdr:graphicFrame>
      <xdr:nvGraphicFramePr>
        <xdr:cNvPr id="5" name="Chart 4"/>
        <xdr:cNvGraphicFramePr/>
      </xdr:nvGraphicFramePr>
      <xdr:xfrm>
        <a:off x="5242560" y="2177415"/>
        <a:ext cx="4131310" cy="2729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236855</xdr:colOff>
      <xdr:row>0</xdr:row>
      <xdr:rowOff>89535</xdr:rowOff>
    </xdr:from>
    <xdr:to>
      <xdr:col>15</xdr:col>
      <xdr:colOff>240665</xdr:colOff>
      <xdr:row>11</xdr:row>
      <xdr:rowOff>84455</xdr:rowOff>
    </xdr:to>
    <xdr:graphicFrame>
      <xdr:nvGraphicFramePr>
        <xdr:cNvPr id="6" name="Chart 5"/>
        <xdr:cNvGraphicFramePr/>
      </xdr:nvGraphicFramePr>
      <xdr:xfrm>
        <a:off x="6942455" y="89535"/>
        <a:ext cx="2442210" cy="200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444500</xdr:colOff>
      <xdr:row>0</xdr:row>
      <xdr:rowOff>106680</xdr:rowOff>
    </xdr:from>
    <xdr:to>
      <xdr:col>18</xdr:col>
      <xdr:colOff>444500</xdr:colOff>
      <xdr:row>5</xdr:row>
      <xdr:rowOff>179705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88500" y="106680"/>
              <a:ext cx="1828800" cy="987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459740</xdr:colOff>
      <xdr:row>6</xdr:row>
      <xdr:rowOff>60960</xdr:rowOff>
    </xdr:from>
    <xdr:to>
      <xdr:col>18</xdr:col>
      <xdr:colOff>459740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What are your savings objectives?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hat are your savings objectives?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03740" y="1158240"/>
              <a:ext cx="1828800" cy="1247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469900</xdr:colOff>
      <xdr:row>20</xdr:row>
      <xdr:rowOff>120015</xdr:rowOff>
    </xdr:from>
    <xdr:to>
      <xdr:col>18</xdr:col>
      <xdr:colOff>469900</xdr:colOff>
      <xdr:row>26</xdr:row>
      <xdr:rowOff>26670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Sourc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our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13900" y="3777615"/>
              <a:ext cx="1828800" cy="10039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243840</xdr:colOff>
      <xdr:row>11</xdr:row>
      <xdr:rowOff>160020</xdr:rowOff>
    </xdr:from>
    <xdr:to>
      <xdr:col>8</xdr:col>
      <xdr:colOff>193040</xdr:colOff>
      <xdr:row>26</xdr:row>
      <xdr:rowOff>160020</xdr:rowOff>
    </xdr:to>
    <xdr:graphicFrame>
      <xdr:nvGraphicFramePr>
        <xdr:cNvPr id="16" name="Chart 15"/>
        <xdr:cNvGraphicFramePr/>
      </xdr:nvGraphicFramePr>
      <xdr:xfrm>
        <a:off x="243840" y="2171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15</xdr:col>
      <xdr:colOff>472440</xdr:colOff>
      <xdr:row>13</xdr:row>
      <xdr:rowOff>129540</xdr:rowOff>
    </xdr:from>
    <xdr:to>
      <xdr:col>18</xdr:col>
      <xdr:colOff>472440</xdr:colOff>
      <xdr:row>20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9" name="Expe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xpe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16440" y="2506980"/>
              <a:ext cx="1828800" cy="1217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5.929375" refreshedBy="Admin" recordCount="40">
  <cacheSource type="worksheet">
    <worksheetSource ref="A1:X41" sheet="Sheet1"/>
  </cacheSource>
  <cacheFields count="24"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1" maxValue="35" count="14">
        <n v="34"/>
        <n v="23"/>
        <n v="30"/>
        <n v="22"/>
        <n v="24"/>
        <n v="27"/>
        <n v="21"/>
        <n v="35"/>
        <n v="31"/>
        <n v="29"/>
        <n v="28"/>
        <n v="25"/>
        <n v="26"/>
        <n v="32"/>
      </sharedItems>
    </cacheField>
    <cacheField name="Investment_Avenues" numFmtId="0">
      <sharedItems count="2">
        <s v="Yes"/>
        <s v="No"/>
      </sharedItems>
    </cacheField>
    <cacheField name="Mutual_Funds" numFmtId="0">
      <sharedItems containsSemiMixedTypes="0" containsString="0" containsNumber="1" containsInteger="1" minValue="1" maxValue="7" count="6">
        <n v="1"/>
        <n v="4"/>
        <n v="3"/>
        <n v="2"/>
        <n v="7"/>
        <n v="5"/>
      </sharedItems>
    </cacheField>
    <cacheField name="Equity_Market" numFmtId="0">
      <sharedItems containsSemiMixedTypes="0" containsString="0" containsNumber="1" containsInteger="1" minValue="1" maxValue="6" count="6">
        <n v="2"/>
        <n v="3"/>
        <n v="6"/>
        <n v="1"/>
        <n v="5"/>
        <n v="4"/>
      </sharedItems>
    </cacheField>
    <cacheField name="Debentures" numFmtId="0">
      <sharedItems containsSemiMixedTypes="0" containsString="0" containsNumber="1" containsInteger="1" minValue="1" maxValue="7" count="7">
        <n v="5"/>
        <n v="2"/>
        <n v="4"/>
        <n v="3"/>
        <n v="7"/>
        <n v="6"/>
        <n v="1"/>
      </sharedItems>
    </cacheField>
    <cacheField name="Government_Bonds" numFmtId="0">
      <sharedItems containsSemiMixedTypes="0" containsString="0" containsNumber="1" containsInteger="1" minValue="1" maxValue="7" count="7">
        <n v="3"/>
        <n v="1"/>
        <n v="2"/>
        <n v="7"/>
        <n v="6"/>
        <n v="4"/>
        <n v="5"/>
      </sharedItems>
    </cacheField>
    <cacheField name="Fixed_Deposits" numFmtId="0">
      <sharedItems containsSemiMixedTypes="0" containsString="0" containsNumber="1" containsInteger="1" minValue="1" maxValue="7" count="7">
        <n v="7"/>
        <n v="5"/>
        <n v="6"/>
        <n v="4"/>
        <n v="3"/>
        <n v="1"/>
        <n v="2"/>
      </sharedItems>
    </cacheField>
    <cacheField name="PPF" numFmtId="0">
      <sharedItems containsSemiMixedTypes="0" containsString="0" containsNumber="1" containsInteger="1" minValue="1" maxValue="6" count="6">
        <n v="6"/>
        <n v="1"/>
        <n v="4"/>
        <n v="5"/>
        <n v="2"/>
        <n v="3"/>
      </sharedItems>
    </cacheField>
    <cacheField name="Gold" numFmtId="0">
      <sharedItems containsSemiMixedTypes="0" containsString="0" containsNumber="1" containsInteger="1" minValue="2" maxValue="7" count="6">
        <n v="4"/>
        <n v="7"/>
        <n v="5"/>
        <n v="2"/>
        <n v="6"/>
        <n v="3"/>
      </sharedItems>
    </cacheField>
    <cacheField name="Stock_Marktet" numFmtId="0">
      <sharedItems count="2">
        <s v="Yes"/>
        <s v="No"/>
      </sharedItems>
    </cacheField>
    <cacheField name="Factor" numFmtId="0">
      <sharedItems count="3">
        <s v="Returns"/>
        <s v="Locking Period"/>
        <s v="Risk"/>
      </sharedItems>
    </cacheField>
    <cacheField name="Objective" numFmtId="0">
      <sharedItems count="3">
        <s v="Capital Appreciation"/>
        <s v="Income"/>
        <s v="Growth"/>
      </sharedItems>
    </cacheField>
    <cacheField name="Purpose" numFmtId="0">
      <sharedItems count="3">
        <s v="Wealth Creation"/>
        <s v="Savings for Future"/>
        <s v="Returns"/>
      </sharedItems>
    </cacheField>
    <cacheField name="Duration" numFmtId="0">
      <sharedItems count="4">
        <s v="1-3 years"/>
        <s v="More than 5 years"/>
        <s v="3-5 years"/>
        <s v="Less than 1 year"/>
      </sharedItems>
    </cacheField>
    <cacheField name="Invest_Monitor" numFmtId="0">
      <sharedItems count="3">
        <s v="Monthly"/>
        <s v="Weekly"/>
        <s v="Daily"/>
      </sharedItems>
    </cacheField>
    <cacheField name="Expect" numFmtId="0">
      <sharedItems count="3">
        <s v="20%-30%"/>
        <s v="10%-20%"/>
        <s v="30%-40%"/>
      </sharedItems>
    </cacheField>
    <cacheField name="Avenue" numFmtId="0">
      <sharedItems count="4">
        <s v="Mutual Fund"/>
        <s v="Equity"/>
        <s v="Fixed Deposits"/>
        <s v="Public Provident Fund"/>
      </sharedItems>
    </cacheField>
    <cacheField name="What are your savings objectives?" numFmtId="0">
      <sharedItems count="3">
        <s v="Retirement Plan"/>
        <s v="Health Care"/>
        <s v="Education"/>
      </sharedItems>
    </cacheField>
    <cacheField name="Reason_Equity" numFmtId="0">
      <sharedItems count="3">
        <s v="Capital Appreciation"/>
        <s v="Dividend"/>
        <s v="Liquidity"/>
      </sharedItems>
    </cacheField>
    <cacheField name="Reason_Mutual" numFmtId="0">
      <sharedItems count="3">
        <s v="Better Returns"/>
        <s v="Tax Benefits"/>
        <s v="Fund Diversification"/>
      </sharedItems>
    </cacheField>
    <cacheField name="Reason_Bonds" numFmtId="0">
      <sharedItems count="3">
        <s v="Safe Investment"/>
        <s v="Assured Returns"/>
        <s v="Tax Incentives"/>
      </sharedItems>
    </cacheField>
    <cacheField name="Reason_FD" numFmtId="0">
      <sharedItems count="3">
        <s v="Fixed Returns"/>
        <s v="High Interest Rates"/>
        <s v="Risk Free"/>
      </sharedItems>
    </cacheField>
    <cacheField name="Source" numFmtId="0">
      <sharedItems count="4">
        <s v="Newspapers and Magazines"/>
        <s v="Financial Consultants"/>
        <s v="Television"/>
        <s v="Internet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7.7332986111" refreshedBy="Admin" recordCount="4">
  <cacheSource type="worksheet">
    <worksheetSource ref="N5:Z9" sheet="Sheet7"/>
  </cacheSource>
  <cacheFields count="13">
    <cacheField name="Investment Avenue" numFmtId="0">
      <sharedItems count="4">
        <s v="Equity"/>
        <s v="Mutual"/>
        <s v="Bonds"/>
        <s v="FD"/>
      </sharedItems>
    </cacheField>
    <cacheField name="Capital Appreciation" numFmtId="0">
      <sharedItems containsSemiMixedTypes="0" containsString="0" containsNumber="1" containsInteger="1" minValue="0" maxValue="30" count="2">
        <n v="30"/>
        <n v="0"/>
      </sharedItems>
    </cacheField>
    <cacheField name="Dividend" numFmtId="0">
      <sharedItems containsSemiMixedTypes="0" containsString="0" containsNumber="1" containsInteger="1" minValue="0" maxValue="8" count="2">
        <n v="8"/>
        <n v="0"/>
      </sharedItems>
    </cacheField>
    <cacheField name="Liquidity" numFmtId="0">
      <sharedItems containsSemiMixedTypes="0" containsString="0" containsNumber="1" containsInteger="1" minValue="0" maxValue="2" count="2">
        <n v="2"/>
        <n v="0"/>
      </sharedItems>
    </cacheField>
    <cacheField name="Better Returns" numFmtId="0">
      <sharedItems containsSemiMixedTypes="0" containsString="0" containsNumber="1" containsInteger="1" minValue="0" maxValue="24" count="2">
        <n v="0"/>
        <n v="24"/>
      </sharedItems>
    </cacheField>
    <cacheField name="Fund Diversification" numFmtId="0">
      <sharedItems containsSemiMixedTypes="0" containsString="0" containsNumber="1" containsInteger="1" minValue="0" maxValue="13" count="2">
        <n v="0"/>
        <n v="13"/>
      </sharedItems>
    </cacheField>
    <cacheField name="Tax Benefits" numFmtId="0">
      <sharedItems containsSemiMixedTypes="0" containsString="0" containsNumber="1" containsInteger="1" minValue="0" maxValue="3" count="2">
        <n v="0"/>
        <n v="3"/>
      </sharedItems>
    </cacheField>
    <cacheField name="Assured Returns" numFmtId="0">
      <sharedItems containsSemiMixedTypes="0" containsString="0" containsNumber="1" containsInteger="1" minValue="0" maxValue="26" count="2">
        <n v="0"/>
        <n v="26"/>
      </sharedItems>
    </cacheField>
    <cacheField name="Safe Investment" numFmtId="0">
      <sharedItems containsSemiMixedTypes="0" containsString="0" containsNumber="1" containsInteger="1" minValue="0" maxValue="13" count="2">
        <n v="0"/>
        <n v="13"/>
      </sharedItems>
    </cacheField>
    <cacheField name="Tax Incentives" numFmtId="0">
      <sharedItems containsSemiMixedTypes="0" containsString="0" containsNumber="1" containsInteger="1" minValue="0" maxValue="1" count="2">
        <n v="0"/>
        <n v="1"/>
      </sharedItems>
    </cacheField>
    <cacheField name="Fixed Returns" numFmtId="0">
      <sharedItems containsSemiMixedTypes="0" containsString="0" containsNumber="1" containsInteger="1" minValue="0" maxValue="18" count="2">
        <n v="0"/>
        <n v="18"/>
      </sharedItems>
    </cacheField>
    <cacheField name="High Interest Rates" numFmtId="0">
      <sharedItems containsSemiMixedTypes="0" containsString="0" containsNumber="1" containsInteger="1" minValue="0" maxValue="3" count="2">
        <n v="0"/>
        <n v="3"/>
      </sharedItems>
    </cacheField>
    <cacheField name="Risk Free" numFmtId="0">
      <sharedItems containsSemiMixedTypes="0" containsString="0" containsNumber="1" containsInteger="1" minValue="0" maxValue="19" count="2">
        <n v="0"/>
        <n v="1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1"/>
    <x v="1"/>
    <x v="1"/>
    <x v="1"/>
    <x v="1"/>
    <x v="0"/>
    <x v="1"/>
    <x v="1"/>
    <x v="1"/>
    <x v="0"/>
    <x v="0"/>
    <x v="1"/>
    <x v="1"/>
    <x v="0"/>
    <x v="0"/>
    <x v="1"/>
    <x v="1"/>
    <x v="0"/>
    <x v="0"/>
    <x v="1"/>
    <x v="1"/>
  </r>
  <r>
    <x v="1"/>
    <x v="2"/>
    <x v="0"/>
    <x v="2"/>
    <x v="2"/>
    <x v="2"/>
    <x v="2"/>
    <x v="1"/>
    <x v="1"/>
    <x v="1"/>
    <x v="0"/>
    <x v="0"/>
    <x v="0"/>
    <x v="0"/>
    <x v="2"/>
    <x v="2"/>
    <x v="0"/>
    <x v="1"/>
    <x v="0"/>
    <x v="0"/>
    <x v="1"/>
    <x v="1"/>
    <x v="0"/>
    <x v="2"/>
  </r>
  <r>
    <x v="1"/>
    <x v="3"/>
    <x v="0"/>
    <x v="3"/>
    <x v="3"/>
    <x v="3"/>
    <x v="3"/>
    <x v="2"/>
    <x v="2"/>
    <x v="2"/>
    <x v="0"/>
    <x v="0"/>
    <x v="1"/>
    <x v="0"/>
    <x v="3"/>
    <x v="2"/>
    <x v="1"/>
    <x v="1"/>
    <x v="0"/>
    <x v="1"/>
    <x v="2"/>
    <x v="2"/>
    <x v="1"/>
    <x v="3"/>
  </r>
  <r>
    <x v="0"/>
    <x v="4"/>
    <x v="1"/>
    <x v="3"/>
    <x v="3"/>
    <x v="3"/>
    <x v="4"/>
    <x v="3"/>
    <x v="3"/>
    <x v="1"/>
    <x v="1"/>
    <x v="0"/>
    <x v="1"/>
    <x v="0"/>
    <x v="3"/>
    <x v="2"/>
    <x v="0"/>
    <x v="1"/>
    <x v="0"/>
    <x v="0"/>
    <x v="0"/>
    <x v="0"/>
    <x v="2"/>
    <x v="3"/>
  </r>
  <r>
    <x v="0"/>
    <x v="4"/>
    <x v="1"/>
    <x v="4"/>
    <x v="4"/>
    <x v="2"/>
    <x v="4"/>
    <x v="4"/>
    <x v="1"/>
    <x v="3"/>
    <x v="1"/>
    <x v="2"/>
    <x v="0"/>
    <x v="0"/>
    <x v="0"/>
    <x v="2"/>
    <x v="2"/>
    <x v="0"/>
    <x v="0"/>
    <x v="2"/>
    <x v="2"/>
    <x v="0"/>
    <x v="2"/>
    <x v="3"/>
  </r>
  <r>
    <x v="0"/>
    <x v="5"/>
    <x v="0"/>
    <x v="2"/>
    <x v="2"/>
    <x v="2"/>
    <x v="2"/>
    <x v="1"/>
    <x v="1"/>
    <x v="1"/>
    <x v="0"/>
    <x v="0"/>
    <x v="0"/>
    <x v="0"/>
    <x v="2"/>
    <x v="0"/>
    <x v="0"/>
    <x v="1"/>
    <x v="0"/>
    <x v="0"/>
    <x v="0"/>
    <x v="1"/>
    <x v="1"/>
    <x v="1"/>
  </r>
  <r>
    <x v="1"/>
    <x v="6"/>
    <x v="0"/>
    <x v="3"/>
    <x v="1"/>
    <x v="4"/>
    <x v="5"/>
    <x v="2"/>
    <x v="1"/>
    <x v="2"/>
    <x v="0"/>
    <x v="2"/>
    <x v="0"/>
    <x v="0"/>
    <x v="2"/>
    <x v="0"/>
    <x v="0"/>
    <x v="0"/>
    <x v="0"/>
    <x v="0"/>
    <x v="0"/>
    <x v="1"/>
    <x v="2"/>
    <x v="0"/>
  </r>
  <r>
    <x v="1"/>
    <x v="7"/>
    <x v="0"/>
    <x v="3"/>
    <x v="5"/>
    <x v="4"/>
    <x v="6"/>
    <x v="4"/>
    <x v="1"/>
    <x v="4"/>
    <x v="0"/>
    <x v="0"/>
    <x v="2"/>
    <x v="1"/>
    <x v="0"/>
    <x v="1"/>
    <x v="0"/>
    <x v="1"/>
    <x v="0"/>
    <x v="0"/>
    <x v="2"/>
    <x v="0"/>
    <x v="0"/>
    <x v="2"/>
  </r>
  <r>
    <x v="1"/>
    <x v="8"/>
    <x v="0"/>
    <x v="0"/>
    <x v="1"/>
    <x v="4"/>
    <x v="5"/>
    <x v="1"/>
    <x v="4"/>
    <x v="4"/>
    <x v="0"/>
    <x v="0"/>
    <x v="0"/>
    <x v="0"/>
    <x v="2"/>
    <x v="0"/>
    <x v="2"/>
    <x v="2"/>
    <x v="0"/>
    <x v="0"/>
    <x v="2"/>
    <x v="1"/>
    <x v="0"/>
    <x v="0"/>
  </r>
  <r>
    <x v="0"/>
    <x v="7"/>
    <x v="0"/>
    <x v="3"/>
    <x v="5"/>
    <x v="4"/>
    <x v="6"/>
    <x v="4"/>
    <x v="1"/>
    <x v="4"/>
    <x v="0"/>
    <x v="2"/>
    <x v="2"/>
    <x v="1"/>
    <x v="2"/>
    <x v="0"/>
    <x v="0"/>
    <x v="0"/>
    <x v="0"/>
    <x v="0"/>
    <x v="0"/>
    <x v="1"/>
    <x v="2"/>
    <x v="1"/>
  </r>
  <r>
    <x v="1"/>
    <x v="9"/>
    <x v="0"/>
    <x v="3"/>
    <x v="4"/>
    <x v="4"/>
    <x v="4"/>
    <x v="4"/>
    <x v="1"/>
    <x v="0"/>
    <x v="0"/>
    <x v="2"/>
    <x v="0"/>
    <x v="0"/>
    <x v="0"/>
    <x v="0"/>
    <x v="0"/>
    <x v="0"/>
    <x v="0"/>
    <x v="0"/>
    <x v="2"/>
    <x v="1"/>
    <x v="0"/>
    <x v="1"/>
  </r>
  <r>
    <x v="0"/>
    <x v="6"/>
    <x v="1"/>
    <x v="0"/>
    <x v="0"/>
    <x v="3"/>
    <x v="5"/>
    <x v="1"/>
    <x v="0"/>
    <x v="1"/>
    <x v="1"/>
    <x v="0"/>
    <x v="0"/>
    <x v="1"/>
    <x v="0"/>
    <x v="1"/>
    <x v="0"/>
    <x v="0"/>
    <x v="2"/>
    <x v="1"/>
    <x v="0"/>
    <x v="0"/>
    <x v="2"/>
    <x v="3"/>
  </r>
  <r>
    <x v="0"/>
    <x v="10"/>
    <x v="0"/>
    <x v="3"/>
    <x v="1"/>
    <x v="4"/>
    <x v="5"/>
    <x v="1"/>
    <x v="1"/>
    <x v="4"/>
    <x v="0"/>
    <x v="0"/>
    <x v="0"/>
    <x v="0"/>
    <x v="0"/>
    <x v="0"/>
    <x v="0"/>
    <x v="0"/>
    <x v="0"/>
    <x v="0"/>
    <x v="2"/>
    <x v="1"/>
    <x v="2"/>
    <x v="0"/>
  </r>
  <r>
    <x v="0"/>
    <x v="11"/>
    <x v="0"/>
    <x v="3"/>
    <x v="1"/>
    <x v="4"/>
    <x v="6"/>
    <x v="3"/>
    <x v="1"/>
    <x v="4"/>
    <x v="0"/>
    <x v="0"/>
    <x v="0"/>
    <x v="0"/>
    <x v="0"/>
    <x v="0"/>
    <x v="0"/>
    <x v="2"/>
    <x v="1"/>
    <x v="1"/>
    <x v="0"/>
    <x v="1"/>
    <x v="2"/>
    <x v="1"/>
  </r>
  <r>
    <x v="1"/>
    <x v="5"/>
    <x v="0"/>
    <x v="3"/>
    <x v="1"/>
    <x v="4"/>
    <x v="6"/>
    <x v="3"/>
    <x v="1"/>
    <x v="4"/>
    <x v="0"/>
    <x v="0"/>
    <x v="0"/>
    <x v="0"/>
    <x v="0"/>
    <x v="0"/>
    <x v="0"/>
    <x v="0"/>
    <x v="1"/>
    <x v="0"/>
    <x v="2"/>
    <x v="1"/>
    <x v="2"/>
    <x v="0"/>
  </r>
  <r>
    <x v="0"/>
    <x v="10"/>
    <x v="0"/>
    <x v="2"/>
    <x v="0"/>
    <x v="4"/>
    <x v="6"/>
    <x v="3"/>
    <x v="1"/>
    <x v="4"/>
    <x v="0"/>
    <x v="2"/>
    <x v="2"/>
    <x v="0"/>
    <x v="0"/>
    <x v="0"/>
    <x v="0"/>
    <x v="2"/>
    <x v="1"/>
    <x v="0"/>
    <x v="2"/>
    <x v="1"/>
    <x v="2"/>
    <x v="2"/>
  </r>
  <r>
    <x v="1"/>
    <x v="5"/>
    <x v="0"/>
    <x v="2"/>
    <x v="0"/>
    <x v="4"/>
    <x v="5"/>
    <x v="1"/>
    <x v="1"/>
    <x v="4"/>
    <x v="0"/>
    <x v="0"/>
    <x v="0"/>
    <x v="0"/>
    <x v="0"/>
    <x v="0"/>
    <x v="0"/>
    <x v="0"/>
    <x v="0"/>
    <x v="0"/>
    <x v="0"/>
    <x v="1"/>
    <x v="2"/>
    <x v="1"/>
  </r>
  <r>
    <x v="1"/>
    <x v="9"/>
    <x v="0"/>
    <x v="2"/>
    <x v="0"/>
    <x v="4"/>
    <x v="5"/>
    <x v="1"/>
    <x v="1"/>
    <x v="4"/>
    <x v="0"/>
    <x v="2"/>
    <x v="0"/>
    <x v="0"/>
    <x v="0"/>
    <x v="0"/>
    <x v="0"/>
    <x v="0"/>
    <x v="0"/>
    <x v="0"/>
    <x v="0"/>
    <x v="1"/>
    <x v="2"/>
    <x v="0"/>
  </r>
  <r>
    <x v="1"/>
    <x v="12"/>
    <x v="0"/>
    <x v="2"/>
    <x v="5"/>
    <x v="5"/>
    <x v="6"/>
    <x v="5"/>
    <x v="4"/>
    <x v="1"/>
    <x v="0"/>
    <x v="2"/>
    <x v="0"/>
    <x v="0"/>
    <x v="2"/>
    <x v="0"/>
    <x v="0"/>
    <x v="2"/>
    <x v="1"/>
    <x v="0"/>
    <x v="2"/>
    <x v="1"/>
    <x v="2"/>
    <x v="0"/>
  </r>
  <r>
    <x v="1"/>
    <x v="9"/>
    <x v="0"/>
    <x v="3"/>
    <x v="5"/>
    <x v="4"/>
    <x v="6"/>
    <x v="4"/>
    <x v="1"/>
    <x v="4"/>
    <x v="0"/>
    <x v="0"/>
    <x v="2"/>
    <x v="0"/>
    <x v="2"/>
    <x v="1"/>
    <x v="0"/>
    <x v="0"/>
    <x v="0"/>
    <x v="0"/>
    <x v="0"/>
    <x v="1"/>
    <x v="0"/>
    <x v="1"/>
  </r>
  <r>
    <x v="0"/>
    <x v="4"/>
    <x v="0"/>
    <x v="3"/>
    <x v="5"/>
    <x v="0"/>
    <x v="4"/>
    <x v="4"/>
    <x v="1"/>
    <x v="1"/>
    <x v="0"/>
    <x v="2"/>
    <x v="0"/>
    <x v="0"/>
    <x v="2"/>
    <x v="0"/>
    <x v="0"/>
    <x v="1"/>
    <x v="1"/>
    <x v="0"/>
    <x v="0"/>
    <x v="1"/>
    <x v="2"/>
    <x v="0"/>
  </r>
  <r>
    <x v="1"/>
    <x v="5"/>
    <x v="0"/>
    <x v="2"/>
    <x v="5"/>
    <x v="5"/>
    <x v="6"/>
    <x v="6"/>
    <x v="1"/>
    <x v="1"/>
    <x v="0"/>
    <x v="0"/>
    <x v="0"/>
    <x v="0"/>
    <x v="2"/>
    <x v="0"/>
    <x v="0"/>
    <x v="0"/>
    <x v="0"/>
    <x v="0"/>
    <x v="0"/>
    <x v="1"/>
    <x v="2"/>
    <x v="1"/>
  </r>
  <r>
    <x v="1"/>
    <x v="11"/>
    <x v="0"/>
    <x v="3"/>
    <x v="5"/>
    <x v="5"/>
    <x v="6"/>
    <x v="4"/>
    <x v="1"/>
    <x v="1"/>
    <x v="0"/>
    <x v="2"/>
    <x v="2"/>
    <x v="1"/>
    <x v="2"/>
    <x v="1"/>
    <x v="0"/>
    <x v="3"/>
    <x v="1"/>
    <x v="2"/>
    <x v="0"/>
    <x v="1"/>
    <x v="2"/>
    <x v="1"/>
  </r>
  <r>
    <x v="0"/>
    <x v="12"/>
    <x v="0"/>
    <x v="3"/>
    <x v="1"/>
    <x v="4"/>
    <x v="6"/>
    <x v="3"/>
    <x v="1"/>
    <x v="4"/>
    <x v="0"/>
    <x v="0"/>
    <x v="0"/>
    <x v="0"/>
    <x v="2"/>
    <x v="0"/>
    <x v="2"/>
    <x v="3"/>
    <x v="0"/>
    <x v="0"/>
    <x v="0"/>
    <x v="1"/>
    <x v="2"/>
    <x v="0"/>
  </r>
  <r>
    <x v="0"/>
    <x v="13"/>
    <x v="0"/>
    <x v="2"/>
    <x v="5"/>
    <x v="4"/>
    <x v="6"/>
    <x v="5"/>
    <x v="4"/>
    <x v="4"/>
    <x v="0"/>
    <x v="2"/>
    <x v="2"/>
    <x v="0"/>
    <x v="2"/>
    <x v="0"/>
    <x v="0"/>
    <x v="0"/>
    <x v="0"/>
    <x v="0"/>
    <x v="0"/>
    <x v="1"/>
    <x v="0"/>
    <x v="1"/>
  </r>
  <r>
    <x v="1"/>
    <x v="12"/>
    <x v="0"/>
    <x v="2"/>
    <x v="5"/>
    <x v="5"/>
    <x v="6"/>
    <x v="5"/>
    <x v="4"/>
    <x v="1"/>
    <x v="0"/>
    <x v="0"/>
    <x v="0"/>
    <x v="0"/>
    <x v="2"/>
    <x v="0"/>
    <x v="0"/>
    <x v="0"/>
    <x v="0"/>
    <x v="1"/>
    <x v="2"/>
    <x v="1"/>
    <x v="0"/>
    <x v="1"/>
  </r>
  <r>
    <x v="1"/>
    <x v="8"/>
    <x v="0"/>
    <x v="3"/>
    <x v="1"/>
    <x v="4"/>
    <x v="4"/>
    <x v="3"/>
    <x v="1"/>
    <x v="2"/>
    <x v="0"/>
    <x v="2"/>
    <x v="2"/>
    <x v="1"/>
    <x v="0"/>
    <x v="0"/>
    <x v="0"/>
    <x v="2"/>
    <x v="1"/>
    <x v="0"/>
    <x v="2"/>
    <x v="0"/>
    <x v="0"/>
    <x v="2"/>
  </r>
  <r>
    <x v="1"/>
    <x v="9"/>
    <x v="0"/>
    <x v="3"/>
    <x v="1"/>
    <x v="5"/>
    <x v="6"/>
    <x v="5"/>
    <x v="2"/>
    <x v="1"/>
    <x v="0"/>
    <x v="0"/>
    <x v="0"/>
    <x v="0"/>
    <x v="0"/>
    <x v="0"/>
    <x v="0"/>
    <x v="1"/>
    <x v="0"/>
    <x v="0"/>
    <x v="0"/>
    <x v="1"/>
    <x v="2"/>
    <x v="2"/>
  </r>
  <r>
    <x v="0"/>
    <x v="0"/>
    <x v="0"/>
    <x v="5"/>
    <x v="5"/>
    <x v="3"/>
    <x v="2"/>
    <x v="0"/>
    <x v="1"/>
    <x v="4"/>
    <x v="0"/>
    <x v="0"/>
    <x v="1"/>
    <x v="2"/>
    <x v="2"/>
    <x v="0"/>
    <x v="1"/>
    <x v="0"/>
    <x v="0"/>
    <x v="0"/>
    <x v="1"/>
    <x v="0"/>
    <x v="0"/>
    <x v="0"/>
  </r>
  <r>
    <x v="1"/>
    <x v="5"/>
    <x v="0"/>
    <x v="1"/>
    <x v="4"/>
    <x v="6"/>
    <x v="2"/>
    <x v="0"/>
    <x v="5"/>
    <x v="4"/>
    <x v="1"/>
    <x v="0"/>
    <x v="2"/>
    <x v="0"/>
    <x v="0"/>
    <x v="0"/>
    <x v="1"/>
    <x v="0"/>
    <x v="2"/>
    <x v="0"/>
    <x v="1"/>
    <x v="0"/>
    <x v="0"/>
    <x v="2"/>
  </r>
  <r>
    <x v="0"/>
    <x v="8"/>
    <x v="0"/>
    <x v="3"/>
    <x v="5"/>
    <x v="4"/>
    <x v="4"/>
    <x v="4"/>
    <x v="1"/>
    <x v="2"/>
    <x v="0"/>
    <x v="0"/>
    <x v="0"/>
    <x v="0"/>
    <x v="2"/>
    <x v="0"/>
    <x v="0"/>
    <x v="2"/>
    <x v="0"/>
    <x v="0"/>
    <x v="0"/>
    <x v="1"/>
    <x v="0"/>
    <x v="1"/>
  </r>
  <r>
    <x v="1"/>
    <x v="5"/>
    <x v="0"/>
    <x v="3"/>
    <x v="5"/>
    <x v="4"/>
    <x v="6"/>
    <x v="5"/>
    <x v="5"/>
    <x v="4"/>
    <x v="0"/>
    <x v="0"/>
    <x v="0"/>
    <x v="0"/>
    <x v="2"/>
    <x v="0"/>
    <x v="2"/>
    <x v="1"/>
    <x v="1"/>
    <x v="0"/>
    <x v="2"/>
    <x v="1"/>
    <x v="0"/>
    <x v="0"/>
  </r>
  <r>
    <x v="1"/>
    <x v="12"/>
    <x v="0"/>
    <x v="3"/>
    <x v="1"/>
    <x v="5"/>
    <x v="5"/>
    <x v="5"/>
    <x v="3"/>
    <x v="1"/>
    <x v="0"/>
    <x v="0"/>
    <x v="0"/>
    <x v="2"/>
    <x v="0"/>
    <x v="0"/>
    <x v="0"/>
    <x v="2"/>
    <x v="2"/>
    <x v="1"/>
    <x v="0"/>
    <x v="0"/>
    <x v="2"/>
    <x v="0"/>
  </r>
  <r>
    <x v="1"/>
    <x v="5"/>
    <x v="0"/>
    <x v="3"/>
    <x v="1"/>
    <x v="5"/>
    <x v="6"/>
    <x v="3"/>
    <x v="1"/>
    <x v="1"/>
    <x v="0"/>
    <x v="0"/>
    <x v="0"/>
    <x v="0"/>
    <x v="0"/>
    <x v="1"/>
    <x v="0"/>
    <x v="0"/>
    <x v="1"/>
    <x v="0"/>
    <x v="0"/>
    <x v="0"/>
    <x v="0"/>
    <x v="1"/>
  </r>
  <r>
    <x v="1"/>
    <x v="2"/>
    <x v="0"/>
    <x v="0"/>
    <x v="5"/>
    <x v="5"/>
    <x v="6"/>
    <x v="4"/>
    <x v="4"/>
    <x v="1"/>
    <x v="0"/>
    <x v="2"/>
    <x v="2"/>
    <x v="0"/>
    <x v="2"/>
    <x v="0"/>
    <x v="0"/>
    <x v="2"/>
    <x v="1"/>
    <x v="0"/>
    <x v="0"/>
    <x v="1"/>
    <x v="0"/>
    <x v="1"/>
  </r>
  <r>
    <x v="1"/>
    <x v="2"/>
    <x v="0"/>
    <x v="3"/>
    <x v="5"/>
    <x v="4"/>
    <x v="6"/>
    <x v="5"/>
    <x v="5"/>
    <x v="4"/>
    <x v="0"/>
    <x v="0"/>
    <x v="0"/>
    <x v="0"/>
    <x v="0"/>
    <x v="0"/>
    <x v="0"/>
    <x v="1"/>
    <x v="0"/>
    <x v="0"/>
    <x v="0"/>
    <x v="1"/>
    <x v="2"/>
    <x v="0"/>
  </r>
  <r>
    <x v="1"/>
    <x v="11"/>
    <x v="0"/>
    <x v="5"/>
    <x v="5"/>
    <x v="4"/>
    <x v="4"/>
    <x v="5"/>
    <x v="4"/>
    <x v="5"/>
    <x v="0"/>
    <x v="2"/>
    <x v="2"/>
    <x v="1"/>
    <x v="2"/>
    <x v="0"/>
    <x v="2"/>
    <x v="3"/>
    <x v="1"/>
    <x v="0"/>
    <x v="0"/>
    <x v="0"/>
    <x v="0"/>
    <x v="1"/>
  </r>
  <r>
    <x v="1"/>
    <x v="8"/>
    <x v="0"/>
    <x v="3"/>
    <x v="5"/>
    <x v="4"/>
    <x v="6"/>
    <x v="4"/>
    <x v="1"/>
    <x v="4"/>
    <x v="0"/>
    <x v="2"/>
    <x v="2"/>
    <x v="0"/>
    <x v="0"/>
    <x v="1"/>
    <x v="0"/>
    <x v="1"/>
    <x v="1"/>
    <x v="1"/>
    <x v="2"/>
    <x v="1"/>
    <x v="0"/>
    <x v="0"/>
  </r>
  <r>
    <x v="1"/>
    <x v="9"/>
    <x v="0"/>
    <x v="1"/>
    <x v="1"/>
    <x v="0"/>
    <x v="3"/>
    <x v="6"/>
    <x v="1"/>
    <x v="4"/>
    <x v="0"/>
    <x v="0"/>
    <x v="0"/>
    <x v="0"/>
    <x v="2"/>
    <x v="0"/>
    <x v="0"/>
    <x v="2"/>
    <x v="0"/>
    <x v="1"/>
    <x v="0"/>
    <x v="0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0"/>
    <x v="0"/>
    <x v="0"/>
    <x v="0"/>
    <x v="0"/>
  </r>
  <r>
    <x v="2"/>
    <x v="1"/>
    <x v="1"/>
    <x v="1"/>
    <x v="0"/>
    <x v="0"/>
    <x v="0"/>
    <x v="1"/>
    <x v="1"/>
    <x v="1"/>
    <x v="0"/>
    <x v="0"/>
    <x v="0"/>
  </r>
  <r>
    <x v="3"/>
    <x v="1"/>
    <x v="1"/>
    <x v="1"/>
    <x v="0"/>
    <x v="0"/>
    <x v="0"/>
    <x v="0"/>
    <x v="0"/>
    <x v="0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7:H10" firstHeaderRow="1" firstDataRow="1" firstDataCol="1"/>
  <pivotFields count="24">
    <pivotField axis="axisRow" dataField="1" compact="0" showAll="0">
      <items count="3">
        <item x="0"/>
        <item x="1"/>
        <item t="default"/>
      </items>
    </pivotField>
    <pivotField compact="0" showAll="0">
      <items count="15">
        <item x="6"/>
        <item x="3"/>
        <item x="1"/>
        <item x="4"/>
        <item x="11"/>
        <item x="12"/>
        <item x="5"/>
        <item x="10"/>
        <item x="9"/>
        <item x="2"/>
        <item x="8"/>
        <item x="13"/>
        <item x="0"/>
        <item x="7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">
        <item x="0"/>
        <item x="3"/>
        <item x="2"/>
        <item x="1"/>
        <item x="5"/>
        <item x="4"/>
        <item t="default"/>
      </items>
    </pivotField>
    <pivotField compact="0" showAll="0">
      <items count="7">
        <item x="3"/>
        <item x="0"/>
        <item x="1"/>
        <item x="5"/>
        <item x="4"/>
        <item x="2"/>
        <item t="default"/>
      </items>
    </pivotField>
    <pivotField compact="0" showAll="0">
      <items count="8">
        <item x="6"/>
        <item x="1"/>
        <item x="3"/>
        <item x="2"/>
        <item x="0"/>
        <item x="5"/>
        <item x="4"/>
        <item t="default"/>
      </items>
    </pivotField>
    <pivotField compact="0" showAll="0">
      <items count="8">
        <item x="1"/>
        <item x="2"/>
        <item x="0"/>
        <item x="5"/>
        <item x="6"/>
        <item x="4"/>
        <item x="3"/>
        <item t="default"/>
      </items>
    </pivotField>
    <pivotField compact="0" showAll="0">
      <items count="8">
        <item x="5"/>
        <item x="6"/>
        <item x="4"/>
        <item x="3"/>
        <item x="1"/>
        <item x="2"/>
        <item x="0"/>
        <item t="default"/>
      </items>
    </pivotField>
    <pivotField compact="0" showAll="0">
      <items count="7">
        <item x="1"/>
        <item x="4"/>
        <item x="5"/>
        <item x="2"/>
        <item x="3"/>
        <item x="0"/>
        <item t="default"/>
      </items>
    </pivotField>
    <pivotField compact="0" showAll="0">
      <items count="7">
        <item x="3"/>
        <item x="5"/>
        <item x="0"/>
        <item x="2"/>
        <item x="4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h="1" x="0"/>
        <item x="2"/>
        <item h="1" x="1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Gender" fld="0" subtotal="count" baseField="0" baseItem="0"/>
  </dataFields>
  <formats count="8">
    <format dxfId="0">
      <pivotArea type="all" dataOnly="0" outline="0" fieldPosition="0"/>
    </format>
    <format dxfId="1">
      <pivotArea field="0" type="button" dataOnly="0" labelOnly="1" outline="0" fieldPosition="0"/>
    </format>
    <format dxfId="2">
      <pivotArea dataOnly="0" labelOnly="1" fieldPosition="0">
        <references count="1">
          <reference field="0" count="1">
            <x v="0"/>
          </reference>
        </references>
      </pivotArea>
    </format>
    <format dxfId="3">
      <pivotArea dataOnly="0" labelOnly="1" fieldPosition="0">
        <references count="1">
          <reference field="0" count="1">
            <x v="1"/>
          </reference>
        </references>
      </pivotArea>
    </format>
    <format dxfId="4">
      <pivotArea dataOnly="0" labelOnly="1" grandRow="1" fieldPosition="0"/>
    </format>
    <format dxfId="5">
      <pivotArea collapsedLevelsAreSubtotals="1" fieldPosition="0"/>
    </format>
    <format dxfId="6">
      <pivotArea type="all" dataOnly="0" outline="0" fieldPosition="0"/>
    </format>
    <format dxfId="7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B6:C11" firstHeaderRow="1" firstDataRow="1" firstDataCol="1"/>
  <pivotFields count="24">
    <pivotField compact="0" showAll="0">
      <items count="3">
        <item x="0"/>
        <item x="1"/>
        <item t="default"/>
      </items>
    </pivotField>
    <pivotField compact="0" showAll="0">
      <items count="15">
        <item x="6"/>
        <item x="3"/>
        <item x="1"/>
        <item x="4"/>
        <item x="11"/>
        <item x="12"/>
        <item x="5"/>
        <item x="10"/>
        <item x="9"/>
        <item x="2"/>
        <item x="8"/>
        <item x="13"/>
        <item x="0"/>
        <item x="7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">
        <item x="0"/>
        <item x="3"/>
        <item x="2"/>
        <item x="1"/>
        <item x="5"/>
        <item x="4"/>
        <item t="default"/>
      </items>
    </pivotField>
    <pivotField compact="0" showAll="0">
      <items count="7">
        <item x="3"/>
        <item x="0"/>
        <item x="1"/>
        <item x="5"/>
        <item x="4"/>
        <item x="2"/>
        <item t="default"/>
      </items>
    </pivotField>
    <pivotField compact="0" showAll="0">
      <items count="8">
        <item x="6"/>
        <item x="1"/>
        <item x="3"/>
        <item x="2"/>
        <item x="0"/>
        <item x="5"/>
        <item x="4"/>
        <item t="default"/>
      </items>
    </pivotField>
    <pivotField compact="0" showAll="0">
      <items count="8">
        <item x="1"/>
        <item x="2"/>
        <item x="0"/>
        <item x="5"/>
        <item x="6"/>
        <item x="4"/>
        <item x="3"/>
        <item t="default"/>
      </items>
    </pivotField>
    <pivotField compact="0" showAll="0">
      <items count="8">
        <item x="5"/>
        <item x="6"/>
        <item x="4"/>
        <item x="3"/>
        <item x="1"/>
        <item x="2"/>
        <item x="0"/>
        <item t="default"/>
      </items>
    </pivotField>
    <pivotField compact="0" showAll="0">
      <items count="7">
        <item x="1"/>
        <item x="4"/>
        <item x="5"/>
        <item x="2"/>
        <item x="3"/>
        <item x="0"/>
        <item t="default"/>
      </items>
    </pivotField>
    <pivotField compact="0" showAll="0">
      <items count="7">
        <item x="3"/>
        <item x="5"/>
        <item x="0"/>
        <item x="2"/>
        <item x="4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h="1" x="0"/>
        <item x="2"/>
        <item h="1" x="1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axis="axisRow" dataField="1" compact="0" showAll="0">
      <items count="5">
        <item x="1"/>
        <item x="2"/>
        <item x="0"/>
        <item x="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venue" fld="17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6:F10" firstHeaderRow="1" firstDataRow="1" firstDataCol="1"/>
  <pivotFields count="24">
    <pivotField compact="0" showAll="0">
      <items count="3">
        <item x="0"/>
        <item x="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h="1" x="0"/>
        <item h="1"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dataField="1" showAll="0">
      <items count="4">
        <item x="0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ason_Equity" fld="19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14:F18" firstHeaderRow="1" firstDataRow="1" firstDataCol="1"/>
  <pivotFields count="24">
    <pivotField compact="0" showAll="0">
      <items count="3">
        <item x="0"/>
        <item x="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h="1" x="0"/>
        <item h="1"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dataField="1"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ason_Mutual" fld="2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H6:I10" firstHeaderRow="1" firstDataRow="1" firstDataCol="1"/>
  <pivotFields count="24">
    <pivotField compact="0" showAll="0">
      <items count="3">
        <item x="0"/>
        <item x="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h="1" x="0"/>
        <item h="1"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dataField="1" compact="0"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2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ason_Bonds" fld="2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H14:I18" firstHeaderRow="1" firstDataRow="1" firstDataCol="1"/>
  <pivotFields count="24">
    <pivotField compact="0" showAll="0">
      <items count="3">
        <item x="0"/>
        <item x="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h="1" x="0"/>
        <item h="1"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dataField="1"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ason_FD" fld="22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K20:O25" firstHeaderRow="0" firstDataRow="1" firstDataCol="1"/>
  <pivotFields count="24">
    <pivotField compact="0" showAll="0">
      <items count="3">
        <item x="0"/>
        <item x="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h="1" x="0"/>
        <item h="1"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umSubtotal="1" countASubtotal="1" showAll="0">
      <items count="6">
        <item x="0"/>
        <item x="1"/>
        <item x="2"/>
        <item x="3"/>
        <item t="sum"/>
        <item t="countA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Reason_Bonds" fld="21" subtotal="count" baseField="0" baseItem="0"/>
    <dataField name="Count of Reason_Equity" fld="19" subtotal="count" baseField="0" baseItem="0"/>
    <dataField name="Count of Reason_FD" fld="22" subtotal="count" baseField="0" baseItem="0"/>
    <dataField name="Count of Reason_Mutual" fld="2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:B8" firstHeaderRow="1" firstDataRow="1" firstDataCol="1"/>
  <pivotFields count="24">
    <pivotField compact="0" showAll="0">
      <items count="3">
        <item x="0"/>
        <item x="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h="1" x="0"/>
        <item h="1"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dataField="1" compact="0" showAll="0">
      <items count="4">
        <item x="2"/>
        <item x="1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hat are your savings objectives?" fld="18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F4:G9" firstHeaderRow="1" firstDataRow="1" firstDataCol="1"/>
  <pivotFields count="24">
    <pivotField compact="0" showAll="0">
      <items count="3">
        <item x="0"/>
        <item x="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h="1" x="0"/>
        <item h="1"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dataField="1" compact="0" showAll="0">
      <items count="5">
        <item x="1"/>
        <item x="3"/>
        <item x="0"/>
        <item x="2"/>
        <item t="default"/>
      </items>
    </pivotField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ource" fld="23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4:C9" firstHeaderRow="1" firstDataRow="1" firstDataCol="1"/>
  <pivotFields count="24">
    <pivotField compact="0" showAll="0">
      <items count="3">
        <item x="0"/>
        <item x="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h="1" x="0"/>
        <item h="1"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dataField="1" compact="0" showAll="0">
      <items count="5">
        <item x="0"/>
        <item x="2"/>
        <item x="3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Duration" fld="14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J4:K8" firstHeaderRow="1" firstDataRow="1" firstDataCol="1"/>
  <pivotFields count="24">
    <pivotField compact="0" showAll="0">
      <items count="3">
        <item x="0"/>
        <item x="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h="1" x="0"/>
        <item h="1"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dataField="1" compact="0" showAll="0">
      <items count="4">
        <item x="1"/>
        <item x="0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xpect" fld="16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6:C10" firstHeaderRow="1" firstDataRow="1" firstDataCol="1"/>
  <pivotFields count="24">
    <pivotField compact="0" showAll="0">
      <items count="3">
        <item x="0"/>
        <item x="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h="1" x="0"/>
        <item h="1"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dataField="1" showAll="0">
      <items count="4">
        <item x="0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ason_Equity" fld="19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6:F10" firstHeaderRow="1" firstDataRow="1" firstDataCol="1"/>
  <pivotFields count="24">
    <pivotField compact="0" showAll="0">
      <items count="3">
        <item x="0"/>
        <item x="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h="1" x="0"/>
        <item h="1"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dataField="1" compact="0"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2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ason_Bonds" fld="2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14:C18" firstHeaderRow="1" firstDataRow="1" firstDataCol="1"/>
  <pivotFields count="24">
    <pivotField compact="0" showAll="0">
      <items count="3">
        <item x="0"/>
        <item x="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h="1" x="0"/>
        <item h="1"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dataField="1"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ason_Mutual" fld="2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14:F18" firstHeaderRow="1" firstDataRow="1" firstDataCol="1"/>
  <pivotFields count="24">
    <pivotField compact="0" showAll="0">
      <items count="3">
        <item x="0"/>
        <item x="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h="1" x="0"/>
        <item h="1"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dataField="1"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ason_FD" fld="22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11:J16" firstHeaderRow="1" firstDataRow="1" firstDataCol="1"/>
  <pivotFields count="24">
    <pivotField compact="0" showAll="0">
      <items count="3">
        <item x="0"/>
        <item x="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h="1" x="0"/>
        <item h="1"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dataField="1" compact="0" showAll="0">
      <items count="5">
        <item x="1"/>
        <item x="3"/>
        <item x="0"/>
        <item x="2"/>
        <item t="default"/>
      </items>
    </pivotField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ource" fld="23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5:J9" firstHeaderRow="1" firstDataRow="1" firstDataCol="1"/>
  <pivotFields count="24">
    <pivotField compact="0" showAll="0">
      <items count="3">
        <item x="0"/>
        <item x="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h="1" x="0"/>
        <item h="1"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dataField="1" compact="0" showAll="0">
      <items count="4">
        <item x="2"/>
        <item x="1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hat are your savings objectives?" fld="18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22:D27" firstHeaderRow="1" firstDataRow="1" firstDataCol="1"/>
  <pivotFields count="24">
    <pivotField compact="0" showAll="0">
      <items count="3">
        <item x="0"/>
        <item x="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h="1" x="0"/>
        <item h="1"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dataField="1" compact="0" showAll="0">
      <items count="5">
        <item x="0"/>
        <item x="2"/>
        <item x="3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Duration" fld="14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F23:G27" firstHeaderRow="1" firstDataRow="1" firstDataCol="1"/>
  <pivotFields count="24">
    <pivotField compact="0" showAll="0">
      <items count="3">
        <item x="0"/>
        <item x="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h="1" x="0"/>
        <item h="1"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dataField="1" compact="0" showAll="0">
      <items count="4">
        <item x="1"/>
        <item x="0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xpect" fld="16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13" cacheId="1" dataOnRows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N12:S25" firstHeaderRow="1" firstDataRow="2" firstDataCol="1"/>
  <pivotFields count="13">
    <pivotField axis="axisCol" compact="0" showAll="0">
      <items count="5">
        <item x="2"/>
        <item x="0"/>
        <item x="3"/>
        <item x="1"/>
        <item t="default"/>
      </items>
    </pivotField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2">
    <dataField name="Sum of Capital Appreciation" fld="1" baseField="0" baseItem="0"/>
    <dataField name="Sum of Dividend" fld="2" baseField="0" baseItem="0"/>
    <dataField name="Sum of Liquidity" fld="3" baseField="0" baseItem="0"/>
    <dataField name="Sum of Better Returns" fld="4" baseField="0" baseItem="0"/>
    <dataField name="Sum of Fund Diversification" fld="5" baseField="0" baseItem="0"/>
    <dataField name="Sum of Tax Benefits" fld="6" baseField="0" baseItem="0"/>
    <dataField name="Sum of Assured Returns" fld="7" baseField="0" baseItem="0"/>
    <dataField name="Sum of Safe Investment" fld="8" baseField="0" baseItem="0"/>
    <dataField name="Sum of Tax Incentives" fld="9" baseField="0" baseItem="0"/>
    <dataField name="Sum of Fixed Returns" fld="10" baseField="0" baseItem="0"/>
    <dataField name="Sum of High Interest Rates" fld="11" baseField="0" baseItem="0"/>
    <dataField name="Sum of Risk Free" fld="1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5" name="PivotTable4"/>
    <pivotTable tabId="7" name="PivotTable2"/>
    <pivotTable tabId="7" name="PivotTable3"/>
    <pivotTable tabId="7" name="PivotTable4"/>
    <pivotTable tabId="7" name="PivotTable5"/>
    <pivotTable tabId="7" name="PivotTable6"/>
    <pivotTable tabId="7" name="PivotTable7"/>
    <pivotTable tabId="7" name="PivotTable8"/>
    <pivotTable tabId="7" name="PivotTable9"/>
    <pivotTable tabId="2" name="PivotTable1"/>
    <pivotTable tabId="3" name="PivotTable2"/>
    <pivotTable tabId="3" name="PivotTable3"/>
    <pivotTable tabId="3" name="PivotTable4"/>
    <pivotTable tabId="3" name="PivotTable5"/>
    <pivotTable tabId="3" name="PivotTable6"/>
    <pivotTable tabId="4" name="PivotTable1"/>
    <pivotTable tabId="4" name="PivotTable2"/>
    <pivotTable tabId="5" name="PivotTable3"/>
    <pivotTable tabId="3" name="PivotTable14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What_are_your_savings_objectives?" sourceName="What are your savings objectives?">
  <pivotTables>
    <pivotTable tabId="5" name="PivotTable4"/>
    <pivotTable tabId="2" name="PivotTable1"/>
    <pivotTable tabId="3" name="PivotTable2"/>
    <pivotTable tabId="3" name="PivotTable3"/>
    <pivotTable tabId="3" name="PivotTable4"/>
    <pivotTable tabId="3" name="PivotTable5"/>
    <pivotTable tabId="3" name="PivotTable6"/>
    <pivotTable tabId="4" name="PivotTable1"/>
    <pivotTable tabId="4" name="PivotTable2"/>
    <pivotTable tabId="5" name="PivotTable3"/>
    <pivotTable tabId="7" name="PivotTable2"/>
    <pivotTable tabId="7" name="PivotTable3"/>
    <pivotTable tabId="7" name="PivotTable4"/>
    <pivotTable tabId="7" name="PivotTable5"/>
    <pivotTable tabId="7" name="PivotTable6"/>
    <pivotTable tabId="7" name="PivotTable7"/>
    <pivotTable tabId="7" name="PivotTable8"/>
    <pivotTable tabId="7" name="PivotTable9"/>
    <pivotTable tabId="3" name="PivotTable14"/>
  </pivotTables>
  <data>
    <tabular pivotCacheId="1">
      <items count="3">
        <i x="2" s="1"/>
        <i x="1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ource" sourceName="Source">
  <pivotTables>
    <pivotTable tabId="5" name="PivotTable4"/>
    <pivotTable tabId="2" name="PivotTable1"/>
    <pivotTable tabId="3" name="PivotTable2"/>
    <pivotTable tabId="3" name="PivotTable3"/>
    <pivotTable tabId="3" name="PivotTable4"/>
    <pivotTable tabId="3" name="PivotTable5"/>
    <pivotTable tabId="3" name="PivotTable6"/>
    <pivotTable tabId="4" name="PivotTable1"/>
    <pivotTable tabId="4" name="PivotTable2"/>
    <pivotTable tabId="5" name="PivotTable3"/>
    <pivotTable tabId="7" name="PivotTable2"/>
    <pivotTable tabId="7" name="PivotTable3"/>
    <pivotTable tabId="7" name="PivotTable4"/>
    <pivotTable tabId="7" name="PivotTable5"/>
    <pivotTable tabId="7" name="PivotTable6"/>
    <pivotTable tabId="7" name="PivotTable7"/>
    <pivotTable tabId="7" name="PivotTable8"/>
    <pivotTable tabId="7" name="PivotTable9"/>
    <pivotTable tabId="3" name="PivotTable14"/>
  </pivotTables>
  <data>
    <tabular pivotCacheId="1">
      <items count="4">
        <i x="1" s="1"/>
        <i x="3" s="1"/>
        <i x="0" s="1"/>
        <i x="2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xpect" sourceName="Expect">
  <pivotTables>
    <pivotTable tabId="5" name="PivotTable4"/>
    <pivotTable tabId="2" name="PivotTable1"/>
    <pivotTable tabId="3" name="PivotTable2"/>
    <pivotTable tabId="3" name="PivotTable3"/>
    <pivotTable tabId="3" name="PivotTable4"/>
    <pivotTable tabId="3" name="PivotTable5"/>
    <pivotTable tabId="3" name="PivotTable6"/>
    <pivotTable tabId="4" name="PivotTable1"/>
    <pivotTable tabId="4" name="PivotTable2"/>
    <pivotTable tabId="5" name="PivotTable3"/>
    <pivotTable tabId="7" name="PivotTable2"/>
    <pivotTable tabId="7" name="PivotTable3"/>
    <pivotTable tabId="7" name="PivotTable4"/>
    <pivotTable tabId="7" name="PivotTable5"/>
    <pivotTable tabId="7" name="PivotTable6"/>
    <pivotTable tabId="7" name="PivotTable7"/>
    <pivotTable tabId="7" name="PivotTable8"/>
    <pivotTable tabId="7" name="PivotTable9"/>
    <pivotTable tabId="3" name="PivotTable14"/>
  </pivotTables>
  <data>
    <tabular pivotCacheId="1">
      <items count="3">
        <i x="1" s="1"/>
        <i x="0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" cache="Slicer_Gender" caption="Gender" rowHeight="225425"/>
  <slicer name="What are your savings objectives?" cache="Slicer_What_are_your_savings_objectives?" caption="What are your savings objectives?" rowHeight="225425"/>
  <slicer name="Source" cache="Slicer_Source" caption="Source" columnCount="2" rowHeight="225425"/>
  <slicer name="Expect" cache="Slicer_Expect" caption="Expect" rowHeight="225425"/>
</slicer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20.xml"/><Relationship Id="rId8" Type="http://schemas.openxmlformats.org/officeDocument/2006/relationships/pivotTable" Target="../pivotTables/pivotTable19.xml"/><Relationship Id="rId7" Type="http://schemas.openxmlformats.org/officeDocument/2006/relationships/pivotTable" Target="../pivotTables/pivotTable18.xml"/><Relationship Id="rId6" Type="http://schemas.openxmlformats.org/officeDocument/2006/relationships/pivotTable" Target="../pivotTables/pivotTable17.xml"/><Relationship Id="rId5" Type="http://schemas.openxmlformats.org/officeDocument/2006/relationships/pivotTable" Target="../pivotTables/pivotTable16.xml"/><Relationship Id="rId4" Type="http://schemas.openxmlformats.org/officeDocument/2006/relationships/pivotTable" Target="../pivotTables/pivotTable15.xml"/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0" Type="http://schemas.openxmlformats.org/officeDocument/2006/relationships/drawing" Target="../drawings/drawing6.xml"/><Relationship Id="rId1" Type="http://schemas.openxmlformats.org/officeDocument/2006/relationships/pivotTable" Target="../pivotTables/pivotTable12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1"/>
  <sheetViews>
    <sheetView topLeftCell="P1" workbookViewId="0">
      <selection activeCell="T3" sqref="T3"/>
    </sheetView>
  </sheetViews>
  <sheetFormatPr defaultColWidth="16.3333333333333" defaultRowHeight="14.4"/>
  <cols>
    <col min="1" max="1" width="9.44444444444444" customWidth="1"/>
    <col min="2" max="2" width="5.44444444444444" customWidth="1"/>
    <col min="3" max="3" width="25.1111111111111" customWidth="1"/>
    <col min="4" max="4" width="17.4444444444444" customWidth="1"/>
    <col min="5" max="5" width="17.6666666666667" customWidth="1"/>
    <col min="6" max="6" width="14.2222222222222" customWidth="1"/>
    <col min="7" max="7" width="24.2222222222222" customWidth="1"/>
    <col min="8" max="8" width="18.7777777777778" customWidth="1"/>
    <col min="9" max="9" width="5.88888888888889" customWidth="1"/>
    <col min="10" max="10" width="6.66666666666667" customWidth="1"/>
    <col min="11" max="11" width="17.7777777777778" customWidth="1"/>
    <col min="12" max="12" width="15.5555555555556" customWidth="1"/>
    <col min="13" max="13" width="20.6666666666667" customWidth="1"/>
    <col min="14" max="14" width="19" customWidth="1"/>
    <col min="15" max="15" width="18.7777777777778" customWidth="1"/>
    <col min="16" max="16" width="18.2222222222222" customWidth="1"/>
    <col min="17" max="17" width="10.4444444444444" customWidth="1"/>
    <col min="18" max="18" width="22.6666666666667" customWidth="1"/>
    <col min="19" max="19" width="41.5555555555556" customWidth="1"/>
    <col min="20" max="20" width="20.6666666666667" customWidth="1"/>
    <col min="21" max="21" width="20.4444444444444" customWidth="1"/>
    <col min="22" max="22" width="18.5555555555556" customWidth="1"/>
    <col min="23" max="23" width="19.7777777777778" customWidth="1"/>
    <col min="24" max="24" width="28.8888888888889" customWidth="1"/>
    <col min="25" max="16384" width="16.3333333333333" customWidth="1"/>
  </cols>
  <sheetData>
    <row r="1" s="27" customFormat="1" ht="16.35" spans="1:2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ht="15.15" spans="1:24">
      <c r="A2" s="11" t="s">
        <v>24</v>
      </c>
      <c r="B2" s="11">
        <v>34</v>
      </c>
      <c r="C2" s="11" t="s">
        <v>25</v>
      </c>
      <c r="D2" s="11">
        <v>1</v>
      </c>
      <c r="E2" s="11">
        <v>2</v>
      </c>
      <c r="F2" s="11">
        <v>5</v>
      </c>
      <c r="G2" s="11">
        <v>3</v>
      </c>
      <c r="H2" s="11">
        <v>7</v>
      </c>
      <c r="I2" s="11">
        <v>6</v>
      </c>
      <c r="J2" s="11">
        <v>4</v>
      </c>
      <c r="K2" s="11" t="s">
        <v>25</v>
      </c>
      <c r="L2" s="11" t="s">
        <v>26</v>
      </c>
      <c r="M2" s="11" t="s">
        <v>27</v>
      </c>
      <c r="N2" s="11" t="s">
        <v>28</v>
      </c>
      <c r="O2" s="11" t="s">
        <v>29</v>
      </c>
      <c r="P2" s="11" t="s">
        <v>30</v>
      </c>
      <c r="Q2" s="11" t="s">
        <v>31</v>
      </c>
      <c r="R2" s="11" t="s">
        <v>32</v>
      </c>
      <c r="S2" s="11" t="s">
        <v>33</v>
      </c>
      <c r="T2" s="11" t="s">
        <v>27</v>
      </c>
      <c r="U2" s="11" t="s">
        <v>34</v>
      </c>
      <c r="V2" s="11" t="s">
        <v>35</v>
      </c>
      <c r="W2" s="11" t="s">
        <v>36</v>
      </c>
      <c r="X2" s="28" t="s">
        <v>37</v>
      </c>
    </row>
    <row r="3" ht="15.15" spans="1:24">
      <c r="A3" s="11" t="s">
        <v>24</v>
      </c>
      <c r="B3" s="11">
        <v>23</v>
      </c>
      <c r="C3" s="11" t="s">
        <v>25</v>
      </c>
      <c r="D3" s="11">
        <v>4</v>
      </c>
      <c r="E3" s="11">
        <v>3</v>
      </c>
      <c r="F3" s="11">
        <v>2</v>
      </c>
      <c r="G3" s="11">
        <v>1</v>
      </c>
      <c r="H3" s="11">
        <v>5</v>
      </c>
      <c r="I3" s="11">
        <v>6</v>
      </c>
      <c r="J3" s="11">
        <v>7</v>
      </c>
      <c r="K3" s="11" t="s">
        <v>38</v>
      </c>
      <c r="L3" s="11" t="s">
        <v>39</v>
      </c>
      <c r="M3" s="11" t="s">
        <v>27</v>
      </c>
      <c r="N3" s="11" t="s">
        <v>28</v>
      </c>
      <c r="O3" s="11" t="s">
        <v>40</v>
      </c>
      <c r="P3" s="11" t="s">
        <v>41</v>
      </c>
      <c r="Q3" s="11" t="s">
        <v>31</v>
      </c>
      <c r="R3" s="11" t="s">
        <v>32</v>
      </c>
      <c r="S3" s="11" t="s">
        <v>42</v>
      </c>
      <c r="T3" s="11" t="s">
        <v>43</v>
      </c>
      <c r="U3" s="11" t="s">
        <v>34</v>
      </c>
      <c r="V3" s="11" t="s">
        <v>35</v>
      </c>
      <c r="W3" s="11" t="s">
        <v>44</v>
      </c>
      <c r="X3" s="28" t="s">
        <v>45</v>
      </c>
    </row>
    <row r="4" ht="15.15" spans="1:24">
      <c r="A4" s="11" t="s">
        <v>46</v>
      </c>
      <c r="B4" s="11">
        <v>30</v>
      </c>
      <c r="C4" s="11" t="s">
        <v>25</v>
      </c>
      <c r="D4" s="11">
        <v>3</v>
      </c>
      <c r="E4" s="11">
        <v>6</v>
      </c>
      <c r="F4" s="11">
        <v>4</v>
      </c>
      <c r="G4" s="11">
        <v>2</v>
      </c>
      <c r="H4" s="11">
        <v>5</v>
      </c>
      <c r="I4" s="11">
        <v>1</v>
      </c>
      <c r="J4" s="11">
        <v>7</v>
      </c>
      <c r="K4" s="11" t="s">
        <v>25</v>
      </c>
      <c r="L4" s="11" t="s">
        <v>26</v>
      </c>
      <c r="M4" s="11" t="s">
        <v>27</v>
      </c>
      <c r="N4" s="11" t="s">
        <v>28</v>
      </c>
      <c r="O4" s="11" t="s">
        <v>47</v>
      </c>
      <c r="P4" s="11" t="s">
        <v>48</v>
      </c>
      <c r="Q4" s="11" t="s">
        <v>31</v>
      </c>
      <c r="R4" s="11" t="s">
        <v>49</v>
      </c>
      <c r="S4" s="11" t="s">
        <v>33</v>
      </c>
      <c r="T4" s="11" t="s">
        <v>27</v>
      </c>
      <c r="U4" s="11" t="s">
        <v>50</v>
      </c>
      <c r="V4" s="11" t="s">
        <v>51</v>
      </c>
      <c r="W4" s="11" t="s">
        <v>36</v>
      </c>
      <c r="X4" s="11" t="s">
        <v>52</v>
      </c>
    </row>
    <row r="5" ht="15.15" spans="1:24">
      <c r="A5" s="11" t="s">
        <v>46</v>
      </c>
      <c r="B5" s="11">
        <v>22</v>
      </c>
      <c r="C5" s="11" t="s">
        <v>25</v>
      </c>
      <c r="D5" s="11">
        <v>2</v>
      </c>
      <c r="E5" s="11">
        <v>1</v>
      </c>
      <c r="F5" s="11">
        <v>3</v>
      </c>
      <c r="G5" s="11">
        <v>7</v>
      </c>
      <c r="H5" s="11">
        <v>6</v>
      </c>
      <c r="I5" s="11">
        <v>4</v>
      </c>
      <c r="J5" s="11">
        <v>5</v>
      </c>
      <c r="K5" s="11" t="s">
        <v>25</v>
      </c>
      <c r="L5" s="11" t="s">
        <v>26</v>
      </c>
      <c r="M5" s="11" t="s">
        <v>53</v>
      </c>
      <c r="N5" s="11" t="s">
        <v>28</v>
      </c>
      <c r="O5" s="11" t="s">
        <v>54</v>
      </c>
      <c r="P5" s="11" t="s">
        <v>48</v>
      </c>
      <c r="Q5" s="11" t="s">
        <v>55</v>
      </c>
      <c r="R5" s="11" t="s">
        <v>49</v>
      </c>
      <c r="S5" s="11" t="s">
        <v>33</v>
      </c>
      <c r="T5" s="11" t="s">
        <v>43</v>
      </c>
      <c r="U5" s="11" t="s">
        <v>56</v>
      </c>
      <c r="V5" s="11" t="s">
        <v>57</v>
      </c>
      <c r="W5" s="11" t="s">
        <v>44</v>
      </c>
      <c r="X5" s="11" t="s">
        <v>58</v>
      </c>
    </row>
    <row r="6" ht="15.15" spans="1:24">
      <c r="A6" s="11" t="s">
        <v>24</v>
      </c>
      <c r="B6" s="11">
        <v>24</v>
      </c>
      <c r="C6" s="11" t="s">
        <v>38</v>
      </c>
      <c r="D6" s="11">
        <v>2</v>
      </c>
      <c r="E6" s="11">
        <v>1</v>
      </c>
      <c r="F6" s="11">
        <v>3</v>
      </c>
      <c r="G6" s="11">
        <v>6</v>
      </c>
      <c r="H6" s="11">
        <v>4</v>
      </c>
      <c r="I6" s="11">
        <v>5</v>
      </c>
      <c r="J6" s="11">
        <v>7</v>
      </c>
      <c r="K6" s="11" t="s">
        <v>38</v>
      </c>
      <c r="L6" s="11" t="s">
        <v>26</v>
      </c>
      <c r="M6" s="11" t="s">
        <v>53</v>
      </c>
      <c r="N6" s="11" t="s">
        <v>28</v>
      </c>
      <c r="O6" s="11" t="s">
        <v>54</v>
      </c>
      <c r="P6" s="11" t="s">
        <v>48</v>
      </c>
      <c r="Q6" s="11" t="s">
        <v>31</v>
      </c>
      <c r="R6" s="11" t="s">
        <v>49</v>
      </c>
      <c r="S6" s="11" t="s">
        <v>33</v>
      </c>
      <c r="T6" s="11" t="s">
        <v>27</v>
      </c>
      <c r="U6" s="11" t="s">
        <v>34</v>
      </c>
      <c r="V6" s="11" t="s">
        <v>35</v>
      </c>
      <c r="W6" s="11" t="s">
        <v>59</v>
      </c>
      <c r="X6" s="11" t="s">
        <v>58</v>
      </c>
    </row>
    <row r="7" ht="15.15" spans="1:24">
      <c r="A7" s="11" t="s">
        <v>24</v>
      </c>
      <c r="B7" s="11">
        <v>24</v>
      </c>
      <c r="C7" s="11" t="s">
        <v>38</v>
      </c>
      <c r="D7" s="11">
        <v>7</v>
      </c>
      <c r="E7" s="11">
        <v>5</v>
      </c>
      <c r="F7" s="11">
        <v>4</v>
      </c>
      <c r="G7" s="11">
        <v>6</v>
      </c>
      <c r="H7" s="11">
        <v>3</v>
      </c>
      <c r="I7" s="11">
        <v>1</v>
      </c>
      <c r="J7" s="11">
        <v>2</v>
      </c>
      <c r="K7" s="11" t="s">
        <v>38</v>
      </c>
      <c r="L7" s="11" t="s">
        <v>60</v>
      </c>
      <c r="M7" s="11" t="s">
        <v>27</v>
      </c>
      <c r="N7" s="11" t="s">
        <v>28</v>
      </c>
      <c r="O7" s="11" t="s">
        <v>29</v>
      </c>
      <c r="P7" s="11" t="s">
        <v>48</v>
      </c>
      <c r="Q7" s="11" t="s">
        <v>61</v>
      </c>
      <c r="R7" s="11" t="s">
        <v>32</v>
      </c>
      <c r="S7" s="11" t="s">
        <v>33</v>
      </c>
      <c r="T7" s="11" t="s">
        <v>62</v>
      </c>
      <c r="U7" s="11" t="s">
        <v>56</v>
      </c>
      <c r="V7" s="11" t="s">
        <v>35</v>
      </c>
      <c r="W7" s="11" t="s">
        <v>59</v>
      </c>
      <c r="X7" s="11" t="s">
        <v>58</v>
      </c>
    </row>
    <row r="8" ht="15.15" spans="1:24">
      <c r="A8" s="11" t="s">
        <v>24</v>
      </c>
      <c r="B8" s="11">
        <v>27</v>
      </c>
      <c r="C8" s="11" t="s">
        <v>25</v>
      </c>
      <c r="D8" s="11">
        <v>3</v>
      </c>
      <c r="E8" s="11">
        <v>6</v>
      </c>
      <c r="F8" s="11">
        <v>4</v>
      </c>
      <c r="G8" s="11">
        <v>2</v>
      </c>
      <c r="H8" s="11">
        <v>5</v>
      </c>
      <c r="I8" s="11">
        <v>1</v>
      </c>
      <c r="J8" s="11">
        <v>7</v>
      </c>
      <c r="K8" s="11" t="s">
        <v>25</v>
      </c>
      <c r="L8" s="11" t="s">
        <v>26</v>
      </c>
      <c r="M8" s="11" t="s">
        <v>27</v>
      </c>
      <c r="N8" s="11" t="s">
        <v>28</v>
      </c>
      <c r="O8" s="11" t="s">
        <v>47</v>
      </c>
      <c r="P8" s="11" t="s">
        <v>30</v>
      </c>
      <c r="Q8" s="11" t="s">
        <v>31</v>
      </c>
      <c r="R8" s="11" t="s">
        <v>49</v>
      </c>
      <c r="S8" s="11" t="s">
        <v>33</v>
      </c>
      <c r="T8" s="11" t="s">
        <v>27</v>
      </c>
      <c r="U8" s="11" t="s">
        <v>34</v>
      </c>
      <c r="V8" s="11" t="s">
        <v>51</v>
      </c>
      <c r="W8" s="11" t="s">
        <v>44</v>
      </c>
      <c r="X8" s="28" t="s">
        <v>45</v>
      </c>
    </row>
    <row r="9" ht="15.15" spans="1:24">
      <c r="A9" s="11" t="s">
        <v>46</v>
      </c>
      <c r="B9" s="11">
        <v>21</v>
      </c>
      <c r="C9" s="11" t="s">
        <v>25</v>
      </c>
      <c r="D9" s="11">
        <v>2</v>
      </c>
      <c r="E9" s="11">
        <v>3</v>
      </c>
      <c r="F9" s="11">
        <v>7</v>
      </c>
      <c r="G9" s="11">
        <v>4</v>
      </c>
      <c r="H9" s="11">
        <v>6</v>
      </c>
      <c r="I9" s="11">
        <v>1</v>
      </c>
      <c r="J9" s="11">
        <v>5</v>
      </c>
      <c r="K9" s="11" t="s">
        <v>25</v>
      </c>
      <c r="L9" s="11" t="s">
        <v>60</v>
      </c>
      <c r="M9" s="11" t="s">
        <v>27</v>
      </c>
      <c r="N9" s="11" t="s">
        <v>28</v>
      </c>
      <c r="O9" s="11" t="s">
        <v>47</v>
      </c>
      <c r="P9" s="11" t="s">
        <v>30</v>
      </c>
      <c r="Q9" s="11" t="s">
        <v>31</v>
      </c>
      <c r="R9" s="11" t="s">
        <v>32</v>
      </c>
      <c r="S9" s="11" t="s">
        <v>33</v>
      </c>
      <c r="T9" s="11" t="s">
        <v>27</v>
      </c>
      <c r="U9" s="11" t="s">
        <v>34</v>
      </c>
      <c r="V9" s="11" t="s">
        <v>51</v>
      </c>
      <c r="W9" s="11" t="s">
        <v>59</v>
      </c>
      <c r="X9" s="28" t="s">
        <v>37</v>
      </c>
    </row>
    <row r="10" ht="15.15" spans="1:24">
      <c r="A10" s="11" t="s">
        <v>46</v>
      </c>
      <c r="B10" s="11">
        <v>35</v>
      </c>
      <c r="C10" s="11" t="s">
        <v>25</v>
      </c>
      <c r="D10" s="11">
        <v>2</v>
      </c>
      <c r="E10" s="11">
        <v>4</v>
      </c>
      <c r="F10" s="11">
        <v>7</v>
      </c>
      <c r="G10" s="11">
        <v>5</v>
      </c>
      <c r="H10" s="11">
        <v>3</v>
      </c>
      <c r="I10" s="11">
        <v>1</v>
      </c>
      <c r="J10" s="11">
        <v>6</v>
      </c>
      <c r="K10" s="11" t="s">
        <v>25</v>
      </c>
      <c r="L10" s="11" t="s">
        <v>26</v>
      </c>
      <c r="M10" s="11" t="s">
        <v>63</v>
      </c>
      <c r="N10" s="11" t="s">
        <v>64</v>
      </c>
      <c r="O10" s="11" t="s">
        <v>29</v>
      </c>
      <c r="P10" s="11" t="s">
        <v>41</v>
      </c>
      <c r="Q10" s="11" t="s">
        <v>31</v>
      </c>
      <c r="R10" s="11" t="s">
        <v>49</v>
      </c>
      <c r="S10" s="11" t="s">
        <v>33</v>
      </c>
      <c r="T10" s="11" t="s">
        <v>27</v>
      </c>
      <c r="U10" s="11" t="s">
        <v>56</v>
      </c>
      <c r="V10" s="11" t="s">
        <v>35</v>
      </c>
      <c r="W10" s="11" t="s">
        <v>36</v>
      </c>
      <c r="X10" s="11" t="s">
        <v>52</v>
      </c>
    </row>
    <row r="11" spans="1:24">
      <c r="A11" s="11" t="s">
        <v>46</v>
      </c>
      <c r="B11" s="11">
        <v>31</v>
      </c>
      <c r="C11" s="11" t="s">
        <v>25</v>
      </c>
      <c r="D11" s="11">
        <v>1</v>
      </c>
      <c r="E11" s="11">
        <v>3</v>
      </c>
      <c r="F11" s="11">
        <v>7</v>
      </c>
      <c r="G11" s="11">
        <v>4</v>
      </c>
      <c r="H11" s="11">
        <v>5</v>
      </c>
      <c r="I11" s="11">
        <v>2</v>
      </c>
      <c r="J11" s="11">
        <v>6</v>
      </c>
      <c r="K11" s="11" t="s">
        <v>25</v>
      </c>
      <c r="L11" s="11" t="s">
        <v>26</v>
      </c>
      <c r="M11" s="11" t="s">
        <v>27</v>
      </c>
      <c r="N11" s="11" t="s">
        <v>28</v>
      </c>
      <c r="O11" s="11" t="s">
        <v>47</v>
      </c>
      <c r="P11" s="11" t="s">
        <v>30</v>
      </c>
      <c r="Q11" s="11" t="s">
        <v>61</v>
      </c>
      <c r="R11" s="11" t="s">
        <v>65</v>
      </c>
      <c r="S11" s="11" t="s">
        <v>33</v>
      </c>
      <c r="T11" s="11" t="s">
        <v>27</v>
      </c>
      <c r="U11" s="11" t="s">
        <v>56</v>
      </c>
      <c r="V11" s="11" t="s">
        <v>51</v>
      </c>
      <c r="W11" s="11" t="s">
        <v>36</v>
      </c>
      <c r="X11" s="28" t="s">
        <v>37</v>
      </c>
    </row>
    <row r="12" ht="15.15" spans="1:24">
      <c r="A12" s="11" t="s">
        <v>24</v>
      </c>
      <c r="B12" s="11">
        <v>35</v>
      </c>
      <c r="C12" s="11" t="s">
        <v>25</v>
      </c>
      <c r="D12" s="11">
        <v>2</v>
      </c>
      <c r="E12" s="11">
        <v>4</v>
      </c>
      <c r="F12" s="11">
        <v>7</v>
      </c>
      <c r="G12" s="11">
        <v>5</v>
      </c>
      <c r="H12" s="11">
        <v>3</v>
      </c>
      <c r="I12" s="11">
        <v>1</v>
      </c>
      <c r="J12" s="11">
        <v>6</v>
      </c>
      <c r="K12" s="11" t="s">
        <v>25</v>
      </c>
      <c r="L12" s="11" t="s">
        <v>60</v>
      </c>
      <c r="M12" s="11" t="s">
        <v>63</v>
      </c>
      <c r="N12" s="11" t="s">
        <v>64</v>
      </c>
      <c r="O12" s="11" t="s">
        <v>47</v>
      </c>
      <c r="P12" s="11" t="s">
        <v>30</v>
      </c>
      <c r="Q12" s="11" t="s">
        <v>31</v>
      </c>
      <c r="R12" s="11" t="s">
        <v>32</v>
      </c>
      <c r="S12" s="11" t="s">
        <v>33</v>
      </c>
      <c r="T12" s="11" t="s">
        <v>27</v>
      </c>
      <c r="U12" s="11" t="s">
        <v>34</v>
      </c>
      <c r="V12" s="11" t="s">
        <v>51</v>
      </c>
      <c r="W12" s="11" t="s">
        <v>59</v>
      </c>
      <c r="X12" s="28" t="s">
        <v>45</v>
      </c>
    </row>
    <row r="13" ht="15.15" spans="1:24">
      <c r="A13" s="11" t="s">
        <v>46</v>
      </c>
      <c r="B13" s="11">
        <v>29</v>
      </c>
      <c r="C13" s="11" t="s">
        <v>25</v>
      </c>
      <c r="D13" s="11">
        <v>2</v>
      </c>
      <c r="E13" s="11">
        <v>5</v>
      </c>
      <c r="F13" s="11">
        <v>7</v>
      </c>
      <c r="G13" s="11">
        <v>6</v>
      </c>
      <c r="H13" s="11">
        <v>3</v>
      </c>
      <c r="I13" s="11">
        <v>1</v>
      </c>
      <c r="J13" s="11">
        <v>4</v>
      </c>
      <c r="K13" s="11" t="s">
        <v>25</v>
      </c>
      <c r="L13" s="11" t="s">
        <v>60</v>
      </c>
      <c r="M13" s="11" t="s">
        <v>27</v>
      </c>
      <c r="N13" s="11" t="s">
        <v>28</v>
      </c>
      <c r="O13" s="11" t="s">
        <v>29</v>
      </c>
      <c r="P13" s="11" t="s">
        <v>30</v>
      </c>
      <c r="Q13" s="11" t="s">
        <v>31</v>
      </c>
      <c r="R13" s="11" t="s">
        <v>32</v>
      </c>
      <c r="S13" s="11" t="s">
        <v>33</v>
      </c>
      <c r="T13" s="11" t="s">
        <v>27</v>
      </c>
      <c r="U13" s="11" t="s">
        <v>56</v>
      </c>
      <c r="V13" s="11" t="s">
        <v>51</v>
      </c>
      <c r="W13" s="11" t="s">
        <v>36</v>
      </c>
      <c r="X13" s="28" t="s">
        <v>45</v>
      </c>
    </row>
    <row r="14" ht="15.15" spans="1:24">
      <c r="A14" s="11" t="s">
        <v>24</v>
      </c>
      <c r="B14" s="11">
        <v>21</v>
      </c>
      <c r="C14" s="11" t="s">
        <v>38</v>
      </c>
      <c r="D14" s="11">
        <v>1</v>
      </c>
      <c r="E14" s="11">
        <v>2</v>
      </c>
      <c r="F14" s="11">
        <v>3</v>
      </c>
      <c r="G14" s="11">
        <v>4</v>
      </c>
      <c r="H14" s="11">
        <v>5</v>
      </c>
      <c r="I14" s="11">
        <v>6</v>
      </c>
      <c r="J14" s="11">
        <v>7</v>
      </c>
      <c r="K14" s="11" t="s">
        <v>38</v>
      </c>
      <c r="L14" s="11" t="s">
        <v>26</v>
      </c>
      <c r="M14" s="11" t="s">
        <v>27</v>
      </c>
      <c r="N14" s="11" t="s">
        <v>64</v>
      </c>
      <c r="O14" s="11" t="s">
        <v>29</v>
      </c>
      <c r="P14" s="11" t="s">
        <v>41</v>
      </c>
      <c r="Q14" s="11" t="s">
        <v>31</v>
      </c>
      <c r="R14" s="11" t="s">
        <v>32</v>
      </c>
      <c r="S14" s="11" t="s">
        <v>66</v>
      </c>
      <c r="T14" s="11" t="s">
        <v>43</v>
      </c>
      <c r="U14" s="11" t="s">
        <v>34</v>
      </c>
      <c r="V14" s="11" t="s">
        <v>35</v>
      </c>
      <c r="W14" s="11" t="s">
        <v>59</v>
      </c>
      <c r="X14" s="11" t="s">
        <v>58</v>
      </c>
    </row>
    <row r="15" ht="15.15" spans="1:24">
      <c r="A15" s="11" t="s">
        <v>24</v>
      </c>
      <c r="B15" s="11">
        <v>28</v>
      </c>
      <c r="C15" s="11" t="s">
        <v>25</v>
      </c>
      <c r="D15" s="11">
        <v>2</v>
      </c>
      <c r="E15" s="11">
        <v>3</v>
      </c>
      <c r="F15" s="11">
        <v>7</v>
      </c>
      <c r="G15" s="11">
        <v>4</v>
      </c>
      <c r="H15" s="11">
        <v>5</v>
      </c>
      <c r="I15" s="11">
        <v>1</v>
      </c>
      <c r="J15" s="11">
        <v>6</v>
      </c>
      <c r="K15" s="11" t="s">
        <v>25</v>
      </c>
      <c r="L15" s="11" t="s">
        <v>26</v>
      </c>
      <c r="M15" s="11" t="s">
        <v>27</v>
      </c>
      <c r="N15" s="11" t="s">
        <v>28</v>
      </c>
      <c r="O15" s="11" t="s">
        <v>29</v>
      </c>
      <c r="P15" s="11" t="s">
        <v>30</v>
      </c>
      <c r="Q15" s="11" t="s">
        <v>31</v>
      </c>
      <c r="R15" s="11" t="s">
        <v>32</v>
      </c>
      <c r="S15" s="11" t="s">
        <v>33</v>
      </c>
      <c r="T15" s="11" t="s">
        <v>27</v>
      </c>
      <c r="U15" s="11" t="s">
        <v>56</v>
      </c>
      <c r="V15" s="11" t="s">
        <v>51</v>
      </c>
      <c r="W15" s="11" t="s">
        <v>59</v>
      </c>
      <c r="X15" s="28" t="s">
        <v>37</v>
      </c>
    </row>
    <row r="16" ht="15.15" spans="1:24">
      <c r="A16" s="11" t="s">
        <v>24</v>
      </c>
      <c r="B16" s="11">
        <v>25</v>
      </c>
      <c r="C16" s="11" t="s">
        <v>25</v>
      </c>
      <c r="D16" s="11">
        <v>2</v>
      </c>
      <c r="E16" s="11">
        <v>3</v>
      </c>
      <c r="F16" s="11">
        <v>7</v>
      </c>
      <c r="G16" s="11">
        <v>5</v>
      </c>
      <c r="H16" s="11">
        <v>4</v>
      </c>
      <c r="I16" s="11">
        <v>1</v>
      </c>
      <c r="J16" s="11">
        <v>6</v>
      </c>
      <c r="K16" s="11" t="s">
        <v>25</v>
      </c>
      <c r="L16" s="11" t="s">
        <v>26</v>
      </c>
      <c r="M16" s="11" t="s">
        <v>27</v>
      </c>
      <c r="N16" s="11" t="s">
        <v>28</v>
      </c>
      <c r="O16" s="11" t="s">
        <v>29</v>
      </c>
      <c r="P16" s="11" t="s">
        <v>30</v>
      </c>
      <c r="Q16" s="11" t="s">
        <v>31</v>
      </c>
      <c r="R16" s="11" t="s">
        <v>65</v>
      </c>
      <c r="S16" s="11" t="s">
        <v>42</v>
      </c>
      <c r="T16" s="11" t="s">
        <v>43</v>
      </c>
      <c r="U16" s="11" t="s">
        <v>34</v>
      </c>
      <c r="V16" s="11" t="s">
        <v>51</v>
      </c>
      <c r="W16" s="11" t="s">
        <v>59</v>
      </c>
      <c r="X16" s="28" t="s">
        <v>45</v>
      </c>
    </row>
    <row r="17" ht="15.15" spans="1:24">
      <c r="A17" s="11" t="s">
        <v>46</v>
      </c>
      <c r="B17" s="11">
        <v>27</v>
      </c>
      <c r="C17" s="11" t="s">
        <v>25</v>
      </c>
      <c r="D17" s="11">
        <v>2</v>
      </c>
      <c r="E17" s="11">
        <v>3</v>
      </c>
      <c r="F17" s="11">
        <v>7</v>
      </c>
      <c r="G17" s="11">
        <v>5</v>
      </c>
      <c r="H17" s="11">
        <v>4</v>
      </c>
      <c r="I17" s="11">
        <v>1</v>
      </c>
      <c r="J17" s="11">
        <v>6</v>
      </c>
      <c r="K17" s="11" t="s">
        <v>25</v>
      </c>
      <c r="L17" s="11" t="s">
        <v>26</v>
      </c>
      <c r="M17" s="11" t="s">
        <v>27</v>
      </c>
      <c r="N17" s="11" t="s">
        <v>28</v>
      </c>
      <c r="O17" s="11" t="s">
        <v>29</v>
      </c>
      <c r="P17" s="11" t="s">
        <v>30</v>
      </c>
      <c r="Q17" s="11" t="s">
        <v>31</v>
      </c>
      <c r="R17" s="11" t="s">
        <v>32</v>
      </c>
      <c r="S17" s="11" t="s">
        <v>42</v>
      </c>
      <c r="T17" s="11" t="s">
        <v>27</v>
      </c>
      <c r="U17" s="11" t="s">
        <v>56</v>
      </c>
      <c r="V17" s="11" t="s">
        <v>51</v>
      </c>
      <c r="W17" s="11" t="s">
        <v>59</v>
      </c>
      <c r="X17" s="28" t="s">
        <v>37</v>
      </c>
    </row>
    <row r="18" ht="15.15" spans="1:24">
      <c r="A18" s="11" t="s">
        <v>24</v>
      </c>
      <c r="B18" s="11">
        <v>28</v>
      </c>
      <c r="C18" s="11" t="s">
        <v>25</v>
      </c>
      <c r="D18" s="11">
        <v>3</v>
      </c>
      <c r="E18" s="11">
        <v>2</v>
      </c>
      <c r="F18" s="11">
        <v>7</v>
      </c>
      <c r="G18" s="11">
        <v>5</v>
      </c>
      <c r="H18" s="11">
        <v>4</v>
      </c>
      <c r="I18" s="11">
        <v>1</v>
      </c>
      <c r="J18" s="11">
        <v>6</v>
      </c>
      <c r="K18" s="11" t="s">
        <v>25</v>
      </c>
      <c r="L18" s="11" t="s">
        <v>60</v>
      </c>
      <c r="M18" s="11" t="s">
        <v>63</v>
      </c>
      <c r="N18" s="11" t="s">
        <v>28</v>
      </c>
      <c r="O18" s="11" t="s">
        <v>29</v>
      </c>
      <c r="P18" s="11" t="s">
        <v>30</v>
      </c>
      <c r="Q18" s="11" t="s">
        <v>31</v>
      </c>
      <c r="R18" s="11" t="s">
        <v>65</v>
      </c>
      <c r="S18" s="11" t="s">
        <v>42</v>
      </c>
      <c r="T18" s="11" t="s">
        <v>27</v>
      </c>
      <c r="U18" s="11" t="s">
        <v>56</v>
      </c>
      <c r="V18" s="11" t="s">
        <v>51</v>
      </c>
      <c r="W18" s="11" t="s">
        <v>59</v>
      </c>
      <c r="X18" s="11" t="s">
        <v>52</v>
      </c>
    </row>
    <row r="19" ht="15.15" spans="1:24">
      <c r="A19" s="11" t="s">
        <v>46</v>
      </c>
      <c r="B19" s="11">
        <v>27</v>
      </c>
      <c r="C19" s="11" t="s">
        <v>25</v>
      </c>
      <c r="D19" s="11">
        <v>3</v>
      </c>
      <c r="E19" s="11">
        <v>2</v>
      </c>
      <c r="F19" s="11">
        <v>7</v>
      </c>
      <c r="G19" s="11">
        <v>4</v>
      </c>
      <c r="H19" s="11">
        <v>5</v>
      </c>
      <c r="I19" s="11">
        <v>1</v>
      </c>
      <c r="J19" s="11">
        <v>6</v>
      </c>
      <c r="K19" s="11" t="s">
        <v>25</v>
      </c>
      <c r="L19" s="11" t="s">
        <v>26</v>
      </c>
      <c r="M19" s="11" t="s">
        <v>27</v>
      </c>
      <c r="N19" s="11" t="s">
        <v>28</v>
      </c>
      <c r="O19" s="11" t="s">
        <v>29</v>
      </c>
      <c r="P19" s="11" t="s">
        <v>30</v>
      </c>
      <c r="Q19" s="11" t="s">
        <v>31</v>
      </c>
      <c r="R19" s="11" t="s">
        <v>32</v>
      </c>
      <c r="S19" s="11" t="s">
        <v>33</v>
      </c>
      <c r="T19" s="11" t="s">
        <v>27</v>
      </c>
      <c r="U19" s="11" t="s">
        <v>34</v>
      </c>
      <c r="V19" s="11" t="s">
        <v>51</v>
      </c>
      <c r="W19" s="11" t="s">
        <v>59</v>
      </c>
      <c r="X19" s="28" t="s">
        <v>45</v>
      </c>
    </row>
    <row r="20" ht="15.15" spans="1:24">
      <c r="A20" s="11" t="s">
        <v>46</v>
      </c>
      <c r="B20" s="11">
        <v>29</v>
      </c>
      <c r="C20" s="11" t="s">
        <v>25</v>
      </c>
      <c r="D20" s="11">
        <v>3</v>
      </c>
      <c r="E20" s="11">
        <v>2</v>
      </c>
      <c r="F20" s="11">
        <v>7</v>
      </c>
      <c r="G20" s="11">
        <v>4</v>
      </c>
      <c r="H20" s="11">
        <v>5</v>
      </c>
      <c r="I20" s="11">
        <v>1</v>
      </c>
      <c r="J20" s="11">
        <v>6</v>
      </c>
      <c r="K20" s="11" t="s">
        <v>25</v>
      </c>
      <c r="L20" s="11" t="s">
        <v>60</v>
      </c>
      <c r="M20" s="11" t="s">
        <v>27</v>
      </c>
      <c r="N20" s="11" t="s">
        <v>28</v>
      </c>
      <c r="O20" s="11" t="s">
        <v>29</v>
      </c>
      <c r="P20" s="11" t="s">
        <v>30</v>
      </c>
      <c r="Q20" s="11" t="s">
        <v>31</v>
      </c>
      <c r="R20" s="11" t="s">
        <v>32</v>
      </c>
      <c r="S20" s="11" t="s">
        <v>33</v>
      </c>
      <c r="T20" s="11" t="s">
        <v>27</v>
      </c>
      <c r="U20" s="11" t="s">
        <v>34</v>
      </c>
      <c r="V20" s="11" t="s">
        <v>51</v>
      </c>
      <c r="W20" s="11" t="s">
        <v>59</v>
      </c>
      <c r="X20" s="28" t="s">
        <v>37</v>
      </c>
    </row>
    <row r="21" ht="15.15" spans="1:24">
      <c r="A21" s="11" t="s">
        <v>46</v>
      </c>
      <c r="B21" s="11">
        <v>26</v>
      </c>
      <c r="C21" s="11" t="s">
        <v>25</v>
      </c>
      <c r="D21" s="11">
        <v>3</v>
      </c>
      <c r="E21" s="11">
        <v>4</v>
      </c>
      <c r="F21" s="11">
        <v>6</v>
      </c>
      <c r="G21" s="11">
        <v>5</v>
      </c>
      <c r="H21" s="11">
        <v>1</v>
      </c>
      <c r="I21" s="11">
        <v>2</v>
      </c>
      <c r="J21" s="11">
        <v>7</v>
      </c>
      <c r="K21" s="11" t="s">
        <v>25</v>
      </c>
      <c r="L21" s="11" t="s">
        <v>60</v>
      </c>
      <c r="M21" s="11" t="s">
        <v>27</v>
      </c>
      <c r="N21" s="11" t="s">
        <v>28</v>
      </c>
      <c r="O21" s="11" t="s">
        <v>47</v>
      </c>
      <c r="P21" s="11" t="s">
        <v>30</v>
      </c>
      <c r="Q21" s="11" t="s">
        <v>31</v>
      </c>
      <c r="R21" s="11" t="s">
        <v>65</v>
      </c>
      <c r="S21" s="11" t="s">
        <v>42</v>
      </c>
      <c r="T21" s="11" t="s">
        <v>27</v>
      </c>
      <c r="U21" s="11" t="s">
        <v>56</v>
      </c>
      <c r="V21" s="11" t="s">
        <v>51</v>
      </c>
      <c r="W21" s="11" t="s">
        <v>59</v>
      </c>
      <c r="X21" s="28" t="s">
        <v>37</v>
      </c>
    </row>
    <row r="22" ht="15.15" spans="1:24">
      <c r="A22" s="11" t="s">
        <v>46</v>
      </c>
      <c r="B22" s="11">
        <v>29</v>
      </c>
      <c r="C22" s="11" t="s">
        <v>25</v>
      </c>
      <c r="D22" s="11">
        <v>2</v>
      </c>
      <c r="E22" s="11">
        <v>4</v>
      </c>
      <c r="F22" s="11">
        <v>7</v>
      </c>
      <c r="G22" s="11">
        <v>5</v>
      </c>
      <c r="H22" s="11">
        <v>3</v>
      </c>
      <c r="I22" s="11">
        <v>1</v>
      </c>
      <c r="J22" s="11">
        <v>6</v>
      </c>
      <c r="K22" s="11" t="s">
        <v>25</v>
      </c>
      <c r="L22" s="11" t="s">
        <v>26</v>
      </c>
      <c r="M22" s="11" t="s">
        <v>63</v>
      </c>
      <c r="N22" s="11" t="s">
        <v>28</v>
      </c>
      <c r="O22" s="11" t="s">
        <v>47</v>
      </c>
      <c r="P22" s="11" t="s">
        <v>41</v>
      </c>
      <c r="Q22" s="11" t="s">
        <v>31</v>
      </c>
      <c r="R22" s="11" t="s">
        <v>32</v>
      </c>
      <c r="S22" s="11" t="s">
        <v>33</v>
      </c>
      <c r="T22" s="11" t="s">
        <v>27</v>
      </c>
      <c r="U22" s="11" t="s">
        <v>34</v>
      </c>
      <c r="V22" s="11" t="s">
        <v>51</v>
      </c>
      <c r="W22" s="11" t="s">
        <v>36</v>
      </c>
      <c r="X22" s="28" t="s">
        <v>45</v>
      </c>
    </row>
    <row r="23" ht="15.15" spans="1:24">
      <c r="A23" s="11" t="s">
        <v>24</v>
      </c>
      <c r="B23" s="11">
        <v>24</v>
      </c>
      <c r="C23" s="11" t="s">
        <v>25</v>
      </c>
      <c r="D23" s="11">
        <v>2</v>
      </c>
      <c r="E23" s="11">
        <v>4</v>
      </c>
      <c r="F23" s="11">
        <v>5</v>
      </c>
      <c r="G23" s="11">
        <v>6</v>
      </c>
      <c r="H23" s="11">
        <v>3</v>
      </c>
      <c r="I23" s="11">
        <v>1</v>
      </c>
      <c r="J23" s="11">
        <v>7</v>
      </c>
      <c r="K23" s="11" t="s">
        <v>25</v>
      </c>
      <c r="L23" s="11" t="s">
        <v>60</v>
      </c>
      <c r="M23" s="11" t="s">
        <v>27</v>
      </c>
      <c r="N23" s="11" t="s">
        <v>28</v>
      </c>
      <c r="O23" s="11" t="s">
        <v>47</v>
      </c>
      <c r="P23" s="11" t="s">
        <v>30</v>
      </c>
      <c r="Q23" s="11" t="s">
        <v>31</v>
      </c>
      <c r="R23" s="11" t="s">
        <v>49</v>
      </c>
      <c r="S23" s="11" t="s">
        <v>42</v>
      </c>
      <c r="T23" s="11" t="s">
        <v>27</v>
      </c>
      <c r="U23" s="11" t="s">
        <v>34</v>
      </c>
      <c r="V23" s="11" t="s">
        <v>51</v>
      </c>
      <c r="W23" s="11" t="s">
        <v>59</v>
      </c>
      <c r="X23" s="28" t="s">
        <v>37</v>
      </c>
    </row>
    <row r="24" ht="15.15" spans="1:24">
      <c r="A24" s="11" t="s">
        <v>46</v>
      </c>
      <c r="B24" s="11">
        <v>27</v>
      </c>
      <c r="C24" s="11" t="s">
        <v>25</v>
      </c>
      <c r="D24" s="11">
        <v>3</v>
      </c>
      <c r="E24" s="11">
        <v>4</v>
      </c>
      <c r="F24" s="11">
        <v>6</v>
      </c>
      <c r="G24" s="11">
        <v>5</v>
      </c>
      <c r="H24" s="11">
        <v>2</v>
      </c>
      <c r="I24" s="11">
        <v>1</v>
      </c>
      <c r="J24" s="11">
        <v>7</v>
      </c>
      <c r="K24" s="11" t="s">
        <v>25</v>
      </c>
      <c r="L24" s="11" t="s">
        <v>26</v>
      </c>
      <c r="M24" s="11" t="s">
        <v>27</v>
      </c>
      <c r="N24" s="11" t="s">
        <v>28</v>
      </c>
      <c r="O24" s="11" t="s">
        <v>47</v>
      </c>
      <c r="P24" s="11" t="s">
        <v>30</v>
      </c>
      <c r="Q24" s="11" t="s">
        <v>31</v>
      </c>
      <c r="R24" s="11" t="s">
        <v>32</v>
      </c>
      <c r="S24" s="11" t="s">
        <v>33</v>
      </c>
      <c r="T24" s="11" t="s">
        <v>27</v>
      </c>
      <c r="U24" s="11" t="s">
        <v>34</v>
      </c>
      <c r="V24" s="11" t="s">
        <v>51</v>
      </c>
      <c r="W24" s="11" t="s">
        <v>59</v>
      </c>
      <c r="X24" s="28" t="s">
        <v>45</v>
      </c>
    </row>
    <row r="25" ht="15.15" spans="1:24">
      <c r="A25" s="11" t="s">
        <v>46</v>
      </c>
      <c r="B25" s="11">
        <v>25</v>
      </c>
      <c r="C25" s="11" t="s">
        <v>25</v>
      </c>
      <c r="D25" s="11">
        <v>2</v>
      </c>
      <c r="E25" s="11">
        <v>4</v>
      </c>
      <c r="F25" s="11">
        <v>6</v>
      </c>
      <c r="G25" s="11">
        <v>5</v>
      </c>
      <c r="H25" s="11">
        <v>3</v>
      </c>
      <c r="I25" s="11">
        <v>1</v>
      </c>
      <c r="J25" s="11">
        <v>7</v>
      </c>
      <c r="K25" s="11" t="s">
        <v>25</v>
      </c>
      <c r="L25" s="11" t="s">
        <v>60</v>
      </c>
      <c r="M25" s="11" t="s">
        <v>63</v>
      </c>
      <c r="N25" s="11" t="s">
        <v>64</v>
      </c>
      <c r="O25" s="11" t="s">
        <v>47</v>
      </c>
      <c r="P25" s="11" t="s">
        <v>41</v>
      </c>
      <c r="Q25" s="11" t="s">
        <v>31</v>
      </c>
      <c r="R25" s="11" t="s">
        <v>67</v>
      </c>
      <c r="S25" s="11" t="s">
        <v>42</v>
      </c>
      <c r="T25" s="11" t="s">
        <v>62</v>
      </c>
      <c r="U25" s="11" t="s">
        <v>34</v>
      </c>
      <c r="V25" s="11" t="s">
        <v>51</v>
      </c>
      <c r="W25" s="11" t="s">
        <v>59</v>
      </c>
      <c r="X25" s="28" t="s">
        <v>45</v>
      </c>
    </row>
    <row r="26" ht="15.15" spans="1:24">
      <c r="A26" s="11" t="s">
        <v>24</v>
      </c>
      <c r="B26" s="11">
        <v>26</v>
      </c>
      <c r="C26" s="11" t="s">
        <v>25</v>
      </c>
      <c r="D26" s="11">
        <v>2</v>
      </c>
      <c r="E26" s="11">
        <v>3</v>
      </c>
      <c r="F26" s="11">
        <v>7</v>
      </c>
      <c r="G26" s="11">
        <v>5</v>
      </c>
      <c r="H26" s="11">
        <v>4</v>
      </c>
      <c r="I26" s="11">
        <v>1</v>
      </c>
      <c r="J26" s="11">
        <v>6</v>
      </c>
      <c r="K26" s="11" t="s">
        <v>25</v>
      </c>
      <c r="L26" s="11" t="s">
        <v>26</v>
      </c>
      <c r="M26" s="11" t="s">
        <v>27</v>
      </c>
      <c r="N26" s="11" t="s">
        <v>28</v>
      </c>
      <c r="O26" s="11" t="s">
        <v>47</v>
      </c>
      <c r="P26" s="11" t="s">
        <v>30</v>
      </c>
      <c r="Q26" s="11" t="s">
        <v>61</v>
      </c>
      <c r="R26" s="11" t="s">
        <v>67</v>
      </c>
      <c r="S26" s="11" t="s">
        <v>33</v>
      </c>
      <c r="T26" s="11" t="s">
        <v>27</v>
      </c>
      <c r="U26" s="11" t="s">
        <v>34</v>
      </c>
      <c r="V26" s="11" t="s">
        <v>51</v>
      </c>
      <c r="W26" s="11" t="s">
        <v>59</v>
      </c>
      <c r="X26" s="28" t="s">
        <v>37</v>
      </c>
    </row>
    <row r="27" ht="15.15" spans="1:24">
      <c r="A27" s="11" t="s">
        <v>24</v>
      </c>
      <c r="B27" s="11">
        <v>32</v>
      </c>
      <c r="C27" s="11" t="s">
        <v>25</v>
      </c>
      <c r="D27" s="11">
        <v>3</v>
      </c>
      <c r="E27" s="11">
        <v>4</v>
      </c>
      <c r="F27" s="11">
        <v>7</v>
      </c>
      <c r="G27" s="11">
        <v>5</v>
      </c>
      <c r="H27" s="11">
        <v>1</v>
      </c>
      <c r="I27" s="11">
        <v>2</v>
      </c>
      <c r="J27" s="11">
        <v>6</v>
      </c>
      <c r="K27" s="11" t="s">
        <v>25</v>
      </c>
      <c r="L27" s="11" t="s">
        <v>60</v>
      </c>
      <c r="M27" s="11" t="s">
        <v>63</v>
      </c>
      <c r="N27" s="11" t="s">
        <v>28</v>
      </c>
      <c r="O27" s="11" t="s">
        <v>47</v>
      </c>
      <c r="P27" s="11" t="s">
        <v>30</v>
      </c>
      <c r="Q27" s="11" t="s">
        <v>31</v>
      </c>
      <c r="R27" s="11" t="s">
        <v>32</v>
      </c>
      <c r="S27" s="11" t="s">
        <v>33</v>
      </c>
      <c r="T27" s="11" t="s">
        <v>27</v>
      </c>
      <c r="U27" s="11" t="s">
        <v>34</v>
      </c>
      <c r="V27" s="11" t="s">
        <v>51</v>
      </c>
      <c r="W27" s="11" t="s">
        <v>36</v>
      </c>
      <c r="X27" s="28" t="s">
        <v>45</v>
      </c>
    </row>
    <row r="28" ht="15.15" spans="1:24">
      <c r="A28" s="11" t="s">
        <v>46</v>
      </c>
      <c r="B28" s="11">
        <v>26</v>
      </c>
      <c r="C28" s="11" t="s">
        <v>25</v>
      </c>
      <c r="D28" s="11">
        <v>3</v>
      </c>
      <c r="E28" s="11">
        <v>4</v>
      </c>
      <c r="F28" s="11">
        <v>6</v>
      </c>
      <c r="G28" s="11">
        <v>5</v>
      </c>
      <c r="H28" s="11">
        <v>1</v>
      </c>
      <c r="I28" s="11">
        <v>2</v>
      </c>
      <c r="J28" s="11">
        <v>7</v>
      </c>
      <c r="K28" s="11" t="s">
        <v>25</v>
      </c>
      <c r="L28" s="11" t="s">
        <v>26</v>
      </c>
      <c r="M28" s="11" t="s">
        <v>27</v>
      </c>
      <c r="N28" s="11" t="s">
        <v>28</v>
      </c>
      <c r="O28" s="11" t="s">
        <v>47</v>
      </c>
      <c r="P28" s="11" t="s">
        <v>30</v>
      </c>
      <c r="Q28" s="11" t="s">
        <v>31</v>
      </c>
      <c r="R28" s="11" t="s">
        <v>32</v>
      </c>
      <c r="S28" s="11" t="s">
        <v>33</v>
      </c>
      <c r="T28" s="11" t="s">
        <v>43</v>
      </c>
      <c r="U28" s="11" t="s">
        <v>56</v>
      </c>
      <c r="V28" s="11" t="s">
        <v>51</v>
      </c>
      <c r="W28" s="11" t="s">
        <v>36</v>
      </c>
      <c r="X28" s="28" t="s">
        <v>45</v>
      </c>
    </row>
    <row r="29" ht="15.15" spans="1:24">
      <c r="A29" s="11" t="s">
        <v>46</v>
      </c>
      <c r="B29" s="11">
        <v>31</v>
      </c>
      <c r="C29" s="11" t="s">
        <v>25</v>
      </c>
      <c r="D29" s="11">
        <v>2</v>
      </c>
      <c r="E29" s="11">
        <v>3</v>
      </c>
      <c r="F29" s="11">
        <v>7</v>
      </c>
      <c r="G29" s="11">
        <v>6</v>
      </c>
      <c r="H29" s="11">
        <v>4</v>
      </c>
      <c r="I29" s="11">
        <v>1</v>
      </c>
      <c r="J29" s="11">
        <v>5</v>
      </c>
      <c r="K29" s="11" t="s">
        <v>25</v>
      </c>
      <c r="L29" s="11" t="s">
        <v>60</v>
      </c>
      <c r="M29" s="11" t="s">
        <v>63</v>
      </c>
      <c r="N29" s="11" t="s">
        <v>64</v>
      </c>
      <c r="O29" s="11" t="s">
        <v>29</v>
      </c>
      <c r="P29" s="11" t="s">
        <v>30</v>
      </c>
      <c r="Q29" s="11" t="s">
        <v>31</v>
      </c>
      <c r="R29" s="11" t="s">
        <v>65</v>
      </c>
      <c r="S29" s="11" t="s">
        <v>42</v>
      </c>
      <c r="T29" s="11" t="s">
        <v>27</v>
      </c>
      <c r="U29" s="11" t="s">
        <v>56</v>
      </c>
      <c r="V29" s="11" t="s">
        <v>35</v>
      </c>
      <c r="W29" s="11" t="s">
        <v>36</v>
      </c>
      <c r="X29" s="11" t="s">
        <v>52</v>
      </c>
    </row>
    <row r="30" ht="15.15" spans="1:24">
      <c r="A30" s="11" t="s">
        <v>46</v>
      </c>
      <c r="B30" s="11">
        <v>29</v>
      </c>
      <c r="C30" s="11" t="s">
        <v>25</v>
      </c>
      <c r="D30" s="11">
        <v>2</v>
      </c>
      <c r="E30" s="11">
        <v>3</v>
      </c>
      <c r="F30" s="11">
        <v>6</v>
      </c>
      <c r="G30" s="11">
        <v>5</v>
      </c>
      <c r="H30" s="11">
        <v>1</v>
      </c>
      <c r="I30" s="11">
        <v>4</v>
      </c>
      <c r="J30" s="11">
        <v>7</v>
      </c>
      <c r="K30" s="11" t="s">
        <v>25</v>
      </c>
      <c r="L30" s="11" t="s">
        <v>26</v>
      </c>
      <c r="M30" s="11" t="s">
        <v>27</v>
      </c>
      <c r="N30" s="11" t="s">
        <v>28</v>
      </c>
      <c r="O30" s="11" t="s">
        <v>29</v>
      </c>
      <c r="P30" s="11" t="s">
        <v>30</v>
      </c>
      <c r="Q30" s="11" t="s">
        <v>31</v>
      </c>
      <c r="R30" s="11" t="s">
        <v>49</v>
      </c>
      <c r="S30" s="11" t="s">
        <v>33</v>
      </c>
      <c r="T30" s="11" t="s">
        <v>27</v>
      </c>
      <c r="U30" s="11" t="s">
        <v>34</v>
      </c>
      <c r="V30" s="11" t="s">
        <v>51</v>
      </c>
      <c r="W30" s="11" t="s">
        <v>59</v>
      </c>
      <c r="X30" s="11" t="s">
        <v>52</v>
      </c>
    </row>
    <row r="31" ht="15.15" spans="1:24">
      <c r="A31" s="11" t="s">
        <v>24</v>
      </c>
      <c r="B31" s="11">
        <v>34</v>
      </c>
      <c r="C31" s="11" t="s">
        <v>25</v>
      </c>
      <c r="D31" s="11">
        <v>5</v>
      </c>
      <c r="E31" s="11">
        <v>4</v>
      </c>
      <c r="F31" s="11">
        <v>3</v>
      </c>
      <c r="G31" s="11">
        <v>2</v>
      </c>
      <c r="H31" s="11">
        <v>7</v>
      </c>
      <c r="I31" s="11">
        <v>1</v>
      </c>
      <c r="J31" s="11">
        <v>6</v>
      </c>
      <c r="K31" s="11" t="s">
        <v>25</v>
      </c>
      <c r="L31" s="11" t="s">
        <v>26</v>
      </c>
      <c r="M31" s="11" t="s">
        <v>53</v>
      </c>
      <c r="N31" s="11" t="s">
        <v>26</v>
      </c>
      <c r="O31" s="11" t="s">
        <v>47</v>
      </c>
      <c r="P31" s="11" t="s">
        <v>30</v>
      </c>
      <c r="Q31" s="11" t="s">
        <v>55</v>
      </c>
      <c r="R31" s="11" t="s">
        <v>32</v>
      </c>
      <c r="S31" s="11" t="s">
        <v>33</v>
      </c>
      <c r="T31" s="11" t="s">
        <v>27</v>
      </c>
      <c r="U31" s="11" t="s">
        <v>50</v>
      </c>
      <c r="V31" s="11" t="s">
        <v>35</v>
      </c>
      <c r="W31" s="11" t="s">
        <v>36</v>
      </c>
      <c r="X31" s="28" t="s">
        <v>37</v>
      </c>
    </row>
    <row r="32" ht="15.15" spans="1:24">
      <c r="A32" s="11" t="s">
        <v>46</v>
      </c>
      <c r="B32" s="11">
        <v>27</v>
      </c>
      <c r="C32" s="11" t="s">
        <v>25</v>
      </c>
      <c r="D32" s="11">
        <v>4</v>
      </c>
      <c r="E32" s="11">
        <v>5</v>
      </c>
      <c r="F32" s="11">
        <v>1</v>
      </c>
      <c r="G32" s="11">
        <v>2</v>
      </c>
      <c r="H32" s="11">
        <v>7</v>
      </c>
      <c r="I32" s="11">
        <v>3</v>
      </c>
      <c r="J32" s="11">
        <v>6</v>
      </c>
      <c r="K32" s="11" t="s">
        <v>38</v>
      </c>
      <c r="L32" s="11" t="s">
        <v>26</v>
      </c>
      <c r="M32" s="11" t="s">
        <v>63</v>
      </c>
      <c r="N32" s="11" t="s">
        <v>28</v>
      </c>
      <c r="O32" s="11" t="s">
        <v>29</v>
      </c>
      <c r="P32" s="11" t="s">
        <v>30</v>
      </c>
      <c r="Q32" s="11" t="s">
        <v>55</v>
      </c>
      <c r="R32" s="11" t="s">
        <v>32</v>
      </c>
      <c r="S32" s="11" t="s">
        <v>66</v>
      </c>
      <c r="T32" s="11" t="s">
        <v>27</v>
      </c>
      <c r="U32" s="11" t="s">
        <v>50</v>
      </c>
      <c r="V32" s="11" t="s">
        <v>35</v>
      </c>
      <c r="W32" s="11" t="s">
        <v>36</v>
      </c>
      <c r="X32" s="11" t="s">
        <v>52</v>
      </c>
    </row>
    <row r="33" ht="15.15" spans="1:24">
      <c r="A33" s="11" t="s">
        <v>24</v>
      </c>
      <c r="B33" s="11">
        <v>31</v>
      </c>
      <c r="C33" s="11" t="s">
        <v>25</v>
      </c>
      <c r="D33" s="11">
        <v>2</v>
      </c>
      <c r="E33" s="11">
        <v>4</v>
      </c>
      <c r="F33" s="11">
        <v>7</v>
      </c>
      <c r="G33" s="11">
        <v>6</v>
      </c>
      <c r="H33" s="11">
        <v>3</v>
      </c>
      <c r="I33" s="11">
        <v>1</v>
      </c>
      <c r="J33" s="11">
        <v>5</v>
      </c>
      <c r="K33" s="11" t="s">
        <v>25</v>
      </c>
      <c r="L33" s="11" t="s">
        <v>26</v>
      </c>
      <c r="M33" s="11" t="s">
        <v>27</v>
      </c>
      <c r="N33" s="11" t="s">
        <v>28</v>
      </c>
      <c r="O33" s="11" t="s">
        <v>47</v>
      </c>
      <c r="P33" s="11" t="s">
        <v>30</v>
      </c>
      <c r="Q33" s="11" t="s">
        <v>31</v>
      </c>
      <c r="R33" s="11" t="s">
        <v>65</v>
      </c>
      <c r="S33" s="11" t="s">
        <v>33</v>
      </c>
      <c r="T33" s="11" t="s">
        <v>27</v>
      </c>
      <c r="U33" s="11" t="s">
        <v>34</v>
      </c>
      <c r="V33" s="11" t="s">
        <v>51</v>
      </c>
      <c r="W33" s="11" t="s">
        <v>36</v>
      </c>
      <c r="X33" s="28" t="s">
        <v>45</v>
      </c>
    </row>
    <row r="34" ht="15.15" spans="1:24">
      <c r="A34" s="11" t="s">
        <v>46</v>
      </c>
      <c r="B34" s="11">
        <v>27</v>
      </c>
      <c r="C34" s="11" t="s">
        <v>25</v>
      </c>
      <c r="D34" s="11">
        <v>2</v>
      </c>
      <c r="E34" s="11">
        <v>4</v>
      </c>
      <c r="F34" s="11">
        <v>7</v>
      </c>
      <c r="G34" s="11">
        <v>5</v>
      </c>
      <c r="H34" s="11">
        <v>1</v>
      </c>
      <c r="I34" s="11">
        <v>3</v>
      </c>
      <c r="J34" s="11">
        <v>6</v>
      </c>
      <c r="K34" s="11" t="s">
        <v>25</v>
      </c>
      <c r="L34" s="11" t="s">
        <v>26</v>
      </c>
      <c r="M34" s="11" t="s">
        <v>27</v>
      </c>
      <c r="N34" s="11" t="s">
        <v>28</v>
      </c>
      <c r="O34" s="11" t="s">
        <v>47</v>
      </c>
      <c r="P34" s="11" t="s">
        <v>30</v>
      </c>
      <c r="Q34" s="11" t="s">
        <v>61</v>
      </c>
      <c r="R34" s="11" t="s">
        <v>49</v>
      </c>
      <c r="S34" s="11" t="s">
        <v>42</v>
      </c>
      <c r="T34" s="11" t="s">
        <v>27</v>
      </c>
      <c r="U34" s="11" t="s">
        <v>56</v>
      </c>
      <c r="V34" s="11" t="s">
        <v>51</v>
      </c>
      <c r="W34" s="11" t="s">
        <v>36</v>
      </c>
      <c r="X34" s="28" t="s">
        <v>37</v>
      </c>
    </row>
    <row r="35" ht="15.15" spans="1:24">
      <c r="A35" s="11" t="s">
        <v>46</v>
      </c>
      <c r="B35" s="11">
        <v>26</v>
      </c>
      <c r="C35" s="11" t="s">
        <v>25</v>
      </c>
      <c r="D35" s="11">
        <v>2</v>
      </c>
      <c r="E35" s="11">
        <v>3</v>
      </c>
      <c r="F35" s="11">
        <v>6</v>
      </c>
      <c r="G35" s="11">
        <v>4</v>
      </c>
      <c r="H35" s="11">
        <v>1</v>
      </c>
      <c r="I35" s="11">
        <v>5</v>
      </c>
      <c r="J35" s="11">
        <v>7</v>
      </c>
      <c r="K35" s="11" t="s">
        <v>25</v>
      </c>
      <c r="L35" s="11" t="s">
        <v>26</v>
      </c>
      <c r="M35" s="11" t="s">
        <v>27</v>
      </c>
      <c r="N35" s="11" t="s">
        <v>26</v>
      </c>
      <c r="O35" s="11" t="s">
        <v>29</v>
      </c>
      <c r="P35" s="11" t="s">
        <v>30</v>
      </c>
      <c r="Q35" s="11" t="s">
        <v>31</v>
      </c>
      <c r="R35" s="11" t="s">
        <v>65</v>
      </c>
      <c r="S35" s="11" t="s">
        <v>66</v>
      </c>
      <c r="T35" s="11" t="s">
        <v>43</v>
      </c>
      <c r="U35" s="11" t="s">
        <v>34</v>
      </c>
      <c r="V35" s="11" t="s">
        <v>35</v>
      </c>
      <c r="W35" s="11" t="s">
        <v>59</v>
      </c>
      <c r="X35" s="28" t="s">
        <v>37</v>
      </c>
    </row>
    <row r="36" ht="15.15" spans="1:24">
      <c r="A36" s="11" t="s">
        <v>46</v>
      </c>
      <c r="B36" s="11">
        <v>27</v>
      </c>
      <c r="C36" s="11" t="s">
        <v>25</v>
      </c>
      <c r="D36" s="11">
        <v>2</v>
      </c>
      <c r="E36" s="11">
        <v>3</v>
      </c>
      <c r="F36" s="11">
        <v>6</v>
      </c>
      <c r="G36" s="11">
        <v>5</v>
      </c>
      <c r="H36" s="11">
        <v>4</v>
      </c>
      <c r="I36" s="11">
        <v>1</v>
      </c>
      <c r="J36" s="11">
        <v>7</v>
      </c>
      <c r="K36" s="11" t="s">
        <v>25</v>
      </c>
      <c r="L36" s="11" t="s">
        <v>26</v>
      </c>
      <c r="M36" s="11" t="s">
        <v>27</v>
      </c>
      <c r="N36" s="11" t="s">
        <v>28</v>
      </c>
      <c r="O36" s="11" t="s">
        <v>29</v>
      </c>
      <c r="P36" s="11" t="s">
        <v>41</v>
      </c>
      <c r="Q36" s="11" t="s">
        <v>31</v>
      </c>
      <c r="R36" s="11" t="s">
        <v>32</v>
      </c>
      <c r="S36" s="11" t="s">
        <v>42</v>
      </c>
      <c r="T36" s="11" t="s">
        <v>27</v>
      </c>
      <c r="U36" s="11" t="s">
        <v>34</v>
      </c>
      <c r="V36" s="11" t="s">
        <v>35</v>
      </c>
      <c r="W36" s="11" t="s">
        <v>36</v>
      </c>
      <c r="X36" s="28" t="s">
        <v>45</v>
      </c>
    </row>
    <row r="37" ht="15.15" spans="1:24">
      <c r="A37" s="11" t="s">
        <v>46</v>
      </c>
      <c r="B37" s="11">
        <v>30</v>
      </c>
      <c r="C37" s="11" t="s">
        <v>25</v>
      </c>
      <c r="D37" s="11">
        <v>1</v>
      </c>
      <c r="E37" s="11">
        <v>4</v>
      </c>
      <c r="F37" s="11">
        <v>6</v>
      </c>
      <c r="G37" s="11">
        <v>5</v>
      </c>
      <c r="H37" s="11">
        <v>3</v>
      </c>
      <c r="I37" s="11">
        <v>2</v>
      </c>
      <c r="J37" s="11">
        <v>7</v>
      </c>
      <c r="K37" s="11" t="s">
        <v>25</v>
      </c>
      <c r="L37" s="11" t="s">
        <v>60</v>
      </c>
      <c r="M37" s="11" t="s">
        <v>63</v>
      </c>
      <c r="N37" s="11" t="s">
        <v>28</v>
      </c>
      <c r="O37" s="11" t="s">
        <v>47</v>
      </c>
      <c r="P37" s="11" t="s">
        <v>30</v>
      </c>
      <c r="Q37" s="11" t="s">
        <v>31</v>
      </c>
      <c r="R37" s="11" t="s">
        <v>65</v>
      </c>
      <c r="S37" s="11" t="s">
        <v>42</v>
      </c>
      <c r="T37" s="11" t="s">
        <v>27</v>
      </c>
      <c r="U37" s="11" t="s">
        <v>34</v>
      </c>
      <c r="V37" s="11" t="s">
        <v>51</v>
      </c>
      <c r="W37" s="11" t="s">
        <v>36</v>
      </c>
      <c r="X37" s="28" t="s">
        <v>45</v>
      </c>
    </row>
    <row r="38" ht="15.15" spans="1:24">
      <c r="A38" s="11" t="s">
        <v>46</v>
      </c>
      <c r="B38" s="11">
        <v>30</v>
      </c>
      <c r="C38" s="11" t="s">
        <v>25</v>
      </c>
      <c r="D38" s="11">
        <v>2</v>
      </c>
      <c r="E38" s="11">
        <v>4</v>
      </c>
      <c r="F38" s="11">
        <v>7</v>
      </c>
      <c r="G38" s="11">
        <v>5</v>
      </c>
      <c r="H38" s="11">
        <v>1</v>
      </c>
      <c r="I38" s="11">
        <v>3</v>
      </c>
      <c r="J38" s="11">
        <v>6</v>
      </c>
      <c r="K38" s="11" t="s">
        <v>25</v>
      </c>
      <c r="L38" s="11" t="s">
        <v>26</v>
      </c>
      <c r="M38" s="11" t="s">
        <v>27</v>
      </c>
      <c r="N38" s="11" t="s">
        <v>28</v>
      </c>
      <c r="O38" s="11" t="s">
        <v>29</v>
      </c>
      <c r="P38" s="11" t="s">
        <v>30</v>
      </c>
      <c r="Q38" s="11" t="s">
        <v>31</v>
      </c>
      <c r="R38" s="11" t="s">
        <v>49</v>
      </c>
      <c r="S38" s="11" t="s">
        <v>33</v>
      </c>
      <c r="T38" s="11" t="s">
        <v>27</v>
      </c>
      <c r="U38" s="11" t="s">
        <v>34</v>
      </c>
      <c r="V38" s="11" t="s">
        <v>51</v>
      </c>
      <c r="W38" s="11" t="s">
        <v>59</v>
      </c>
      <c r="X38" s="28" t="s">
        <v>37</v>
      </c>
    </row>
    <row r="39" ht="15.15" spans="1:24">
      <c r="A39" s="11" t="s">
        <v>46</v>
      </c>
      <c r="B39" s="11">
        <v>25</v>
      </c>
      <c r="C39" s="11" t="s">
        <v>25</v>
      </c>
      <c r="D39" s="11">
        <v>5</v>
      </c>
      <c r="E39" s="11">
        <v>4</v>
      </c>
      <c r="F39" s="11">
        <v>7</v>
      </c>
      <c r="G39" s="11">
        <v>6</v>
      </c>
      <c r="H39" s="11">
        <v>1</v>
      </c>
      <c r="I39" s="11">
        <v>2</v>
      </c>
      <c r="J39" s="11">
        <v>3</v>
      </c>
      <c r="K39" s="11" t="s">
        <v>25</v>
      </c>
      <c r="L39" s="11" t="s">
        <v>60</v>
      </c>
      <c r="M39" s="11" t="s">
        <v>63</v>
      </c>
      <c r="N39" s="11" t="s">
        <v>64</v>
      </c>
      <c r="O39" s="11" t="s">
        <v>47</v>
      </c>
      <c r="P39" s="11" t="s">
        <v>30</v>
      </c>
      <c r="Q39" s="11" t="s">
        <v>61</v>
      </c>
      <c r="R39" s="11" t="s">
        <v>67</v>
      </c>
      <c r="S39" s="11" t="s">
        <v>42</v>
      </c>
      <c r="T39" s="11" t="s">
        <v>27</v>
      </c>
      <c r="U39" s="11" t="s">
        <v>34</v>
      </c>
      <c r="V39" s="11" t="s">
        <v>35</v>
      </c>
      <c r="W39" s="11" t="s">
        <v>36</v>
      </c>
      <c r="X39" s="28" t="s">
        <v>45</v>
      </c>
    </row>
    <row r="40" ht="15.15" spans="1:24">
      <c r="A40" s="11" t="s">
        <v>46</v>
      </c>
      <c r="B40" s="11">
        <v>31</v>
      </c>
      <c r="C40" s="11" t="s">
        <v>25</v>
      </c>
      <c r="D40" s="11">
        <v>2</v>
      </c>
      <c r="E40" s="11">
        <v>4</v>
      </c>
      <c r="F40" s="11">
        <v>7</v>
      </c>
      <c r="G40" s="11">
        <v>5</v>
      </c>
      <c r="H40" s="11">
        <v>3</v>
      </c>
      <c r="I40" s="11">
        <v>1</v>
      </c>
      <c r="J40" s="11">
        <v>6</v>
      </c>
      <c r="K40" s="11" t="s">
        <v>25</v>
      </c>
      <c r="L40" s="11" t="s">
        <v>60</v>
      </c>
      <c r="M40" s="11" t="s">
        <v>63</v>
      </c>
      <c r="N40" s="11" t="s">
        <v>28</v>
      </c>
      <c r="O40" s="11" t="s">
        <v>29</v>
      </c>
      <c r="P40" s="11" t="s">
        <v>41</v>
      </c>
      <c r="Q40" s="11" t="s">
        <v>31</v>
      </c>
      <c r="R40" s="11" t="s">
        <v>49</v>
      </c>
      <c r="S40" s="11" t="s">
        <v>42</v>
      </c>
      <c r="T40" s="11" t="s">
        <v>43</v>
      </c>
      <c r="U40" s="11" t="s">
        <v>56</v>
      </c>
      <c r="V40" s="11" t="s">
        <v>51</v>
      </c>
      <c r="W40" s="11" t="s">
        <v>36</v>
      </c>
      <c r="X40" s="28" t="s">
        <v>37</v>
      </c>
    </row>
    <row r="41" ht="15.15" spans="1:24">
      <c r="A41" s="11" t="s">
        <v>46</v>
      </c>
      <c r="B41" s="11">
        <v>29</v>
      </c>
      <c r="C41" s="11" t="s">
        <v>25</v>
      </c>
      <c r="D41" s="11">
        <v>4</v>
      </c>
      <c r="E41" s="11">
        <v>3</v>
      </c>
      <c r="F41" s="11">
        <v>5</v>
      </c>
      <c r="G41" s="11">
        <v>7</v>
      </c>
      <c r="H41" s="11">
        <v>2</v>
      </c>
      <c r="I41" s="11">
        <v>1</v>
      </c>
      <c r="J41" s="11">
        <v>6</v>
      </c>
      <c r="K41" s="11" t="s">
        <v>25</v>
      </c>
      <c r="L41" s="11" t="s">
        <v>26</v>
      </c>
      <c r="M41" s="11" t="s">
        <v>27</v>
      </c>
      <c r="N41" s="11" t="s">
        <v>28</v>
      </c>
      <c r="O41" s="11" t="s">
        <v>47</v>
      </c>
      <c r="P41" s="11" t="s">
        <v>30</v>
      </c>
      <c r="Q41" s="11" t="s">
        <v>31</v>
      </c>
      <c r="R41" s="11" t="s">
        <v>65</v>
      </c>
      <c r="S41" s="11" t="s">
        <v>33</v>
      </c>
      <c r="T41" s="11" t="s">
        <v>43</v>
      </c>
      <c r="U41" s="11" t="s">
        <v>34</v>
      </c>
      <c r="V41" s="11" t="s">
        <v>35</v>
      </c>
      <c r="W41" s="11" t="s">
        <v>36</v>
      </c>
      <c r="X41" s="28" t="s">
        <v>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0"/>
  <sheetViews>
    <sheetView showGridLines="0" zoomScale="98" zoomScaleNormal="98" workbookViewId="0">
      <selection activeCell="B1" sqref="B1:G2"/>
    </sheetView>
  </sheetViews>
  <sheetFormatPr defaultColWidth="8.88888888888889" defaultRowHeight="14.4" outlineLevelCol="7"/>
  <cols>
    <col min="2" max="2" width="12.2314814814815" customWidth="1"/>
    <col min="3" max="3" width="14.0833333333333" customWidth="1"/>
    <col min="4" max="4" width="8.2962962962963" customWidth="1"/>
    <col min="7" max="7" width="12.7777777777778"/>
    <col min="8" max="8" width="15.7777777777778"/>
  </cols>
  <sheetData>
    <row r="1" spans="2:8">
      <c r="B1" s="18" t="s">
        <v>68</v>
      </c>
      <c r="C1" s="19"/>
      <c r="D1" s="19"/>
      <c r="E1" s="19"/>
      <c r="F1" s="19"/>
      <c r="G1" s="19"/>
    </row>
    <row r="2" spans="2:8">
      <c r="B2" s="19"/>
      <c r="C2" s="19"/>
      <c r="D2" s="19"/>
      <c r="E2" s="19"/>
      <c r="F2" s="19"/>
      <c r="G2" s="19"/>
    </row>
    <row r="6" ht="28.5" customHeight="1" spans="2:8">
      <c r="B6" s="20" t="s">
        <v>69</v>
      </c>
      <c r="C6" s="20"/>
      <c r="D6" s="20"/>
    </row>
    <row r="7" ht="22.5" customHeight="1" spans="2:8">
      <c r="B7" s="21"/>
      <c r="C7" s="21"/>
      <c r="D7" s="21"/>
      <c r="G7" s="22" t="s">
        <v>0</v>
      </c>
      <c r="H7" s="23" t="s">
        <v>70</v>
      </c>
    </row>
    <row r="8" ht="22.5" customHeight="1" spans="2:8">
      <c r="B8" s="24" t="s">
        <v>46</v>
      </c>
      <c r="C8" s="24" t="s">
        <v>24</v>
      </c>
      <c r="D8" s="21"/>
      <c r="G8" s="25" t="s">
        <v>24</v>
      </c>
      <c r="H8" s="25">
        <v>15</v>
      </c>
    </row>
    <row r="9" ht="22.5" customHeight="1" spans="2:8">
      <c r="B9" s="26">
        <f>COUNTIF(Sheet1!A:A,B8)</f>
        <v>25</v>
      </c>
      <c r="C9" s="26">
        <f>COUNTIF(Sheet1!A:A,C8)</f>
        <v>15</v>
      </c>
      <c r="D9" s="21"/>
      <c r="G9" s="25" t="s">
        <v>46</v>
      </c>
      <c r="H9" s="25">
        <v>25</v>
      </c>
    </row>
    <row r="10" ht="22.5" customHeight="1" spans="2:8">
      <c r="G10" s="25" t="s">
        <v>71</v>
      </c>
      <c r="H10" s="25">
        <v>40</v>
      </c>
    </row>
  </sheetData>
  <mergeCells count="2">
    <mergeCell ref="B6:D6"/>
    <mergeCell ref="B1:G2"/>
  </mergeCells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W25"/>
  <sheetViews>
    <sheetView zoomScale="76" zoomScaleNormal="76" workbookViewId="0">
      <selection activeCell="K21" sqref="K21"/>
    </sheetView>
  </sheetViews>
  <sheetFormatPr defaultColWidth="8.88888888888889" defaultRowHeight="14.4"/>
  <cols>
    <col min="2" max="2" width="20.1111111111111"/>
    <col min="3" max="3" width="16.6666666666667"/>
    <col min="4" max="4" width="28.1111111111111"/>
    <col min="5" max="5" width="18.6666666666667"/>
    <col min="6" max="6" width="24.2222222222222"/>
    <col min="7" max="7" width="23.4444444444444"/>
    <col min="8" max="8" width="17.8888888888889"/>
    <col min="9" max="9" width="19.7777777777778"/>
    <col min="10" max="10" width="11.6666666666667"/>
    <col min="11" max="11" width="20.1111111111111"/>
    <col min="12" max="23" width="23.5555555555556"/>
    <col min="24" max="24" width="24.6666666666667"/>
    <col min="25" max="26" width="27.8888888888889"/>
    <col min="27" max="27" width="28.7777777777778"/>
    <col min="28" max="30" width="20.5648148148148"/>
    <col min="31" max="31" width="23.8888888888889"/>
    <col min="32" max="34" width="22.6666666666667"/>
    <col min="35" max="36" width="19.1111111111111"/>
    <col min="37" max="37" width="17.1111111111111"/>
    <col min="38" max="40" width="20.5648148148148"/>
    <col min="41" max="41" width="23.8888888888889"/>
    <col min="42" max="44" width="23.5555555555556"/>
    <col min="45" max="46" width="19.1111111111111"/>
    <col min="47" max="47" width="17.1111111111111"/>
    <col min="48" max="50" width="20.5648148148148"/>
    <col min="51" max="51" width="23.8888888888889"/>
    <col min="52" max="52" width="24.6666666666667"/>
    <col min="53" max="54" width="27.8888888888889"/>
    <col min="55" max="55" width="28.7777777777778"/>
    <col min="56" max="56" width="23.8888888888889"/>
    <col min="57" max="57" width="14"/>
    <col min="58" max="59" width="22.6666666666667"/>
    <col min="60" max="61" width="19.1111111111111"/>
    <col min="62" max="62" width="17.1111111111111"/>
    <col min="63" max="64" width="20.5648148148148"/>
    <col min="65" max="65" width="23.8888888888889"/>
    <col min="66" max="66" width="18.1111111111111"/>
    <col min="67" max="68" width="19.787037037037"/>
    <col min="69" max="69" width="19.1111111111111"/>
    <col min="70" max="70" width="20.5648148148148"/>
    <col min="71" max="71" width="23.8888888888889"/>
    <col min="72" max="72" width="23.1111111111111"/>
    <col min="73" max="76" width="19.1111111111111"/>
    <col min="77" max="78" width="20.5648148148148"/>
    <col min="79" max="79" width="23.8888888888889"/>
    <col min="80" max="80" width="14"/>
    <col min="81" max="82" width="23.5555555555556"/>
    <col min="83" max="84" width="19.1111111111111"/>
    <col min="85" max="85" width="17.1111111111111"/>
    <col min="86" max="87" width="20.5648148148148"/>
    <col min="88" max="88" width="23.8888888888889"/>
    <col min="89" max="89" width="18.1111111111111"/>
    <col min="90" max="91" width="19.787037037037"/>
    <col min="92" max="92" width="19.1111111111111"/>
    <col min="93" max="93" width="20.5648148148148"/>
    <col min="94" max="94" width="23.8888888888889"/>
    <col min="95" max="95" width="23.1111111111111"/>
    <col min="96" max="99" width="19.1111111111111"/>
    <col min="100" max="101" width="20.5648148148148"/>
    <col min="102" max="102" width="23.8888888888889"/>
    <col min="103" max="103" width="14"/>
    <col min="104" max="104" width="24.6666666666667"/>
    <col min="105" max="106" width="27.8888888888889"/>
    <col min="107" max="107" width="28.7777777777778"/>
    <col min="108" max="108" width="19.1111111111111"/>
    <col min="109" max="109" width="20.5555555555556"/>
    <col min="110" max="110" width="23.8888888888889"/>
    <col min="111" max="111" width="18.1111111111111"/>
    <col min="112" max="112" width="19.787037037037"/>
    <col min="113" max="113" width="20.6666666666667"/>
    <col min="114" max="114" width="19.1111111111111"/>
    <col min="115" max="115" width="20.5555555555556"/>
    <col min="116" max="116" width="19.1111111111111"/>
    <col min="117" max="117" width="20.5648148148148"/>
    <col min="118" max="118" width="18.8888888888889"/>
    <col min="119" max="119" width="23.8888888888889"/>
    <col min="120" max="120" width="23.1111111111111"/>
    <col min="121" max="122" width="19.1111111111111"/>
    <col min="123" max="123" width="20.6666666666667"/>
    <col min="124" max="126" width="19.1111111111111"/>
    <col min="127" max="127" width="20.5555555555556"/>
    <col min="128" max="128" width="19.1111111111111"/>
    <col min="129" max="129" width="20.5648148148148"/>
    <col min="130" max="130" width="20.6666666666667"/>
    <col min="131" max="131" width="19.1111111111111"/>
    <col min="132" max="132" width="20.5555555555556"/>
    <col min="133" max="133" width="23.8888888888889"/>
    <col min="134" max="134" width="14"/>
    <col min="135" max="136" width="23.5555555555556"/>
    <col min="137" max="137" width="20.6666666666667"/>
    <col min="138" max="138" width="19.1111111111111"/>
    <col min="139" max="139" width="20.5555555555556"/>
    <col min="140" max="141" width="19.1111111111111"/>
    <col min="142" max="142" width="20.6666666666667"/>
    <col min="143" max="143" width="19.1111111111111"/>
    <col min="144" max="144" width="20.5555555555556"/>
    <col min="145" max="145" width="17.1111111111111"/>
    <col min="146" max="146" width="20.5648148148148"/>
    <col min="147" max="147" width="20.6666666666667"/>
    <col min="148" max="149" width="19.1111111111111"/>
    <col min="150" max="150" width="20.5555555555556"/>
    <col min="151" max="151" width="23.8888888888889"/>
    <col min="152" max="152" width="18.1111111111111"/>
    <col min="153" max="153" width="19.787037037037"/>
    <col min="154" max="154" width="20.6666666666667"/>
    <col min="155" max="155" width="19.1111111111111"/>
    <col min="156" max="156" width="20.5555555555556"/>
    <col min="157" max="157" width="19.1111111111111"/>
    <col min="158" max="158" width="20.5648148148148"/>
    <col min="159" max="159" width="18.8888888888889"/>
    <col min="160" max="160" width="23.8888888888889"/>
    <col min="161" max="161" width="23.1111111111111"/>
    <col min="162" max="163" width="19.1111111111111"/>
    <col min="164" max="164" width="20.6666666666667"/>
    <col min="165" max="167" width="19.1111111111111"/>
    <col min="168" max="168" width="20.5555555555556"/>
    <col min="169" max="169" width="19.1111111111111"/>
    <col min="170" max="170" width="20.5648148148148"/>
    <col min="171" max="171" width="20.6666666666667"/>
    <col min="172" max="172" width="19.1111111111111"/>
    <col min="173" max="173" width="20.5555555555556"/>
    <col min="174" max="174" width="23.8888888888889"/>
    <col min="175" max="175" width="14"/>
    <col min="176" max="176" width="24.6666666666667"/>
    <col min="177" max="178" width="27.8888888888889"/>
    <col min="179" max="179" width="28.7777777777778"/>
  </cols>
  <sheetData>
    <row r="1" spans="2:23">
      <c r="B1" s="6" t="s">
        <v>72</v>
      </c>
      <c r="C1" s="2"/>
      <c r="D1" s="2"/>
      <c r="E1" s="2"/>
      <c r="F1" s="2"/>
      <c r="G1" s="2"/>
      <c r="H1" s="2"/>
      <c r="I1" s="2"/>
      <c r="J1" s="2"/>
    </row>
    <row r="2" spans="2:23">
      <c r="B2" s="2"/>
      <c r="C2" s="2"/>
      <c r="D2" s="2"/>
      <c r="E2" s="2"/>
      <c r="F2" s="2"/>
      <c r="G2" s="2"/>
      <c r="H2" s="2"/>
      <c r="I2" s="2"/>
      <c r="J2" s="2"/>
    </row>
    <row r="5" ht="21" spans="2:23">
      <c r="E5" s="3" t="s">
        <v>73</v>
      </c>
      <c r="F5" s="4"/>
      <c r="H5" s="3" t="s">
        <v>74</v>
      </c>
      <c r="I5" s="4"/>
    </row>
    <row r="6" spans="2:23">
      <c r="B6" t="s">
        <v>17</v>
      </c>
      <c r="C6" t="s">
        <v>75</v>
      </c>
      <c r="E6" t="s">
        <v>76</v>
      </c>
      <c r="F6" t="s">
        <v>77</v>
      </c>
      <c r="H6" t="s">
        <v>21</v>
      </c>
      <c r="I6" t="s">
        <v>78</v>
      </c>
      <c r="K6" t="s">
        <v>79</v>
      </c>
      <c r="L6" t="str">
        <f>E7</f>
        <v>Capital Appreciation</v>
      </c>
      <c r="M6" t="str">
        <f>E8</f>
        <v>Dividend</v>
      </c>
      <c r="N6" t="str">
        <f>E9</f>
        <v>Liquidity</v>
      </c>
      <c r="O6" t="str">
        <f>E15</f>
        <v>Better Returns</v>
      </c>
      <c r="P6" t="str">
        <f>E16</f>
        <v>Fund Diversification</v>
      </c>
      <c r="Q6" t="str">
        <f>E17</f>
        <v>Tax Benefits</v>
      </c>
      <c r="R6" t="str">
        <f>H7</f>
        <v>Assured Returns</v>
      </c>
      <c r="S6" t="str">
        <f>H8</f>
        <v>Safe Investment</v>
      </c>
      <c r="T6" t="str">
        <f>H9</f>
        <v>Tax Incentives</v>
      </c>
      <c r="U6" t="str">
        <f>H15</f>
        <v>Fixed Returns</v>
      </c>
      <c r="V6" t="str">
        <f>H16</f>
        <v>High Interest Rates</v>
      </c>
      <c r="W6" t="str">
        <f>H17</f>
        <v>Risk Free</v>
      </c>
    </row>
    <row r="7" spans="2:23">
      <c r="B7" t="s">
        <v>49</v>
      </c>
      <c r="C7">
        <v>10</v>
      </c>
      <c r="E7" s="5" t="s">
        <v>27</v>
      </c>
      <c r="F7">
        <v>30</v>
      </c>
      <c r="H7" t="s">
        <v>51</v>
      </c>
      <c r="I7">
        <v>26</v>
      </c>
      <c r="K7" t="s">
        <v>49</v>
      </c>
      <c r="L7">
        <f>COUNTIFS(Sheet1!$T:$T,L$6)</f>
        <v>30</v>
      </c>
      <c r="M7">
        <f>COUNTIFS(Sheet1!$T:$T,M$6)</f>
        <v>8</v>
      </c>
      <c r="N7">
        <f>COUNTIFS(Sheet1!$T:$T,N$6)</f>
        <v>2</v>
      </c>
      <c r="O7">
        <f>COUNTIFS(Sheet1!$T:$T,O$6)</f>
        <v>0</v>
      </c>
      <c r="P7">
        <f>COUNTIFS(Sheet1!$T:$T,P$6)</f>
        <v>0</v>
      </c>
      <c r="Q7">
        <f>COUNTIFS(Sheet1!$T:$T,Q$6)</f>
        <v>0</v>
      </c>
      <c r="R7">
        <f>COUNTIFS(Sheet1!$T:$T,R$6)</f>
        <v>0</v>
      </c>
      <c r="S7">
        <f>COUNTIFS(Sheet1!$T:$T,S$6)</f>
        <v>0</v>
      </c>
      <c r="T7">
        <f>COUNTIFS(Sheet1!$T:$T,T$6)</f>
        <v>0</v>
      </c>
      <c r="U7">
        <f>COUNTIFS(Sheet1!$T:$T,U$6)</f>
        <v>0</v>
      </c>
      <c r="V7">
        <f>COUNTIFS(Sheet1!$T:$T,V$6)</f>
        <v>0</v>
      </c>
      <c r="W7">
        <f>COUNTIFS(Sheet1!$T:$T,W$6)</f>
        <v>0</v>
      </c>
    </row>
    <row r="8" spans="2:23">
      <c r="B8" t="s">
        <v>65</v>
      </c>
      <c r="C8">
        <v>9</v>
      </c>
      <c r="E8" s="5" t="s">
        <v>43</v>
      </c>
      <c r="F8">
        <v>8</v>
      </c>
      <c r="H8" t="s">
        <v>35</v>
      </c>
      <c r="I8">
        <v>13</v>
      </c>
      <c r="K8" t="s">
        <v>80</v>
      </c>
      <c r="L8">
        <f>COUNTIFS(Sheet1!$U:$U,L$6)</f>
        <v>0</v>
      </c>
      <c r="M8">
        <f>COUNTIFS(Sheet1!$U:$U,M$6)</f>
        <v>0</v>
      </c>
      <c r="N8">
        <f>COUNTIFS(Sheet1!$U:$U,N$6)</f>
        <v>0</v>
      </c>
      <c r="O8">
        <f>COUNTIFS(Sheet1!$U:$U,O$6)</f>
        <v>24</v>
      </c>
      <c r="P8">
        <f>COUNTIFS(Sheet1!$U:$U,P$6)</f>
        <v>13</v>
      </c>
      <c r="Q8">
        <f>COUNTIFS(Sheet1!$U:$U,Q$6)</f>
        <v>3</v>
      </c>
      <c r="R8">
        <f>COUNTIFS(Sheet1!$U:$U,R$6)</f>
        <v>0</v>
      </c>
      <c r="S8">
        <f>COUNTIFS(Sheet1!$U:$U,S$6)</f>
        <v>0</v>
      </c>
      <c r="T8">
        <f>COUNTIFS(Sheet1!$U:$U,T$6)</f>
        <v>0</v>
      </c>
      <c r="U8">
        <f>COUNTIFS(Sheet1!$U:$U,U$6)</f>
        <v>0</v>
      </c>
      <c r="V8">
        <f>COUNTIFS(Sheet1!$U:$U,V$6)</f>
        <v>0</v>
      </c>
      <c r="W8">
        <f>COUNTIFS(Sheet1!$U:$U,W$6)</f>
        <v>0</v>
      </c>
    </row>
    <row r="9" spans="2:23">
      <c r="B9" t="s">
        <v>32</v>
      </c>
      <c r="C9">
        <v>18</v>
      </c>
      <c r="E9" s="5" t="s">
        <v>62</v>
      </c>
      <c r="F9">
        <v>2</v>
      </c>
      <c r="H9" t="s">
        <v>57</v>
      </c>
      <c r="I9">
        <v>1</v>
      </c>
      <c r="K9" t="s">
        <v>81</v>
      </c>
      <c r="L9">
        <f>COUNTIFS(Sheet1!$V:$V,L$6)</f>
        <v>0</v>
      </c>
      <c r="M9">
        <f>COUNTIFS(Sheet1!$V:$V,M$6)</f>
        <v>0</v>
      </c>
      <c r="N9">
        <f>COUNTIFS(Sheet1!$V:$V,N$6)</f>
        <v>0</v>
      </c>
      <c r="O9">
        <f>COUNTIFS(Sheet1!$V:$V,O$6)</f>
        <v>0</v>
      </c>
      <c r="P9">
        <f>COUNTIFS(Sheet1!$V:$V,P$6)</f>
        <v>0</v>
      </c>
      <c r="Q9">
        <f>COUNTIFS(Sheet1!$V:$V,Q$6)</f>
        <v>0</v>
      </c>
      <c r="R9">
        <f>COUNTIFS(Sheet1!$V:$V,R$6)</f>
        <v>26</v>
      </c>
      <c r="S9">
        <f>COUNTIFS(Sheet1!$V:$V,S$6)</f>
        <v>13</v>
      </c>
      <c r="T9">
        <f>COUNTIFS(Sheet1!$V:$V,T$6)</f>
        <v>1</v>
      </c>
      <c r="U9">
        <f>COUNTIFS(Sheet1!$V:$V,U$6)</f>
        <v>0</v>
      </c>
      <c r="V9">
        <f>COUNTIFS(Sheet1!$V:$V,V$6)</f>
        <v>0</v>
      </c>
      <c r="W9">
        <f>COUNTIFS(Sheet1!$V:$V,W$6)</f>
        <v>0</v>
      </c>
    </row>
    <row r="10" spans="2:23">
      <c r="B10" t="s">
        <v>67</v>
      </c>
      <c r="C10">
        <v>3</v>
      </c>
      <c r="E10" s="5" t="s">
        <v>71</v>
      </c>
      <c r="F10">
        <v>40</v>
      </c>
      <c r="H10" t="s">
        <v>71</v>
      </c>
      <c r="I10">
        <v>40</v>
      </c>
      <c r="K10" t="s">
        <v>82</v>
      </c>
      <c r="L10">
        <f>COUNTIFS(Sheet1!$W:$W,L$6)</f>
        <v>0</v>
      </c>
      <c r="M10">
        <f>COUNTIFS(Sheet1!$W:$W,M$6)</f>
        <v>0</v>
      </c>
      <c r="N10">
        <f>COUNTIFS(Sheet1!$W:$W,N$6)</f>
        <v>0</v>
      </c>
      <c r="O10">
        <f>COUNTIFS(Sheet1!$W:$W,O$6)</f>
        <v>0</v>
      </c>
      <c r="P10">
        <f>COUNTIFS(Sheet1!$W:$W,P$6)</f>
        <v>0</v>
      </c>
      <c r="Q10">
        <f>COUNTIFS(Sheet1!$W:$W,Q$6)</f>
        <v>0</v>
      </c>
      <c r="R10">
        <f>COUNTIFS(Sheet1!$W:$W,R$6)</f>
        <v>0</v>
      </c>
      <c r="S10">
        <f>COUNTIFS(Sheet1!$W:$W,S$6)</f>
        <v>0</v>
      </c>
      <c r="T10">
        <f>COUNTIFS(Sheet1!$W:$W,T$6)</f>
        <v>0</v>
      </c>
      <c r="U10">
        <f>COUNTIFS(Sheet1!$W:$W,U$6)</f>
        <v>18</v>
      </c>
      <c r="V10">
        <f>COUNTIFS(Sheet1!$W:$W,V$6)</f>
        <v>3</v>
      </c>
      <c r="W10">
        <f>COUNTIFS(Sheet1!$W:$W,W$6)</f>
        <v>19</v>
      </c>
    </row>
    <row r="11" spans="2:23">
      <c r="B11" t="s">
        <v>71</v>
      </c>
      <c r="C11">
        <v>40</v>
      </c>
    </row>
    <row r="13" ht="21" spans="2:23">
      <c r="E13" s="3" t="s">
        <v>83</v>
      </c>
      <c r="F13" s="4"/>
      <c r="H13" s="3" t="s">
        <v>84</v>
      </c>
      <c r="I13" s="4"/>
      <c r="K13">
        <f>Sheet7!J22</f>
        <v>0</v>
      </c>
    </row>
    <row r="14" spans="2:23">
      <c r="E14" t="s">
        <v>20</v>
      </c>
      <c r="F14" t="s">
        <v>85</v>
      </c>
      <c r="H14" t="s">
        <v>22</v>
      </c>
      <c r="I14" t="s">
        <v>86</v>
      </c>
    </row>
    <row r="15" spans="2:23">
      <c r="E15" t="s">
        <v>34</v>
      </c>
      <c r="F15">
        <v>24</v>
      </c>
      <c r="H15" t="s">
        <v>36</v>
      </c>
      <c r="I15">
        <v>18</v>
      </c>
    </row>
    <row r="16" spans="2:23">
      <c r="E16" t="s">
        <v>56</v>
      </c>
      <c r="F16">
        <v>13</v>
      </c>
      <c r="H16" t="s">
        <v>44</v>
      </c>
      <c r="I16">
        <v>3</v>
      </c>
    </row>
    <row r="17" spans="5:15">
      <c r="E17" t="s">
        <v>50</v>
      </c>
      <c r="F17">
        <v>3</v>
      </c>
      <c r="H17" t="s">
        <v>59</v>
      </c>
      <c r="I17">
        <v>19</v>
      </c>
    </row>
    <row r="18" spans="5:15">
      <c r="E18" t="s">
        <v>71</v>
      </c>
      <c r="F18">
        <v>40</v>
      </c>
      <c r="H18" t="s">
        <v>71</v>
      </c>
      <c r="I18">
        <v>40</v>
      </c>
    </row>
    <row r="20" spans="5:15">
      <c r="K20" t="s">
        <v>17</v>
      </c>
      <c r="L20" t="s">
        <v>78</v>
      </c>
      <c r="M20" t="s">
        <v>77</v>
      </c>
      <c r="N20" t="s">
        <v>86</v>
      </c>
      <c r="O20" t="s">
        <v>85</v>
      </c>
    </row>
    <row r="21" spans="5:15">
      <c r="K21" t="s">
        <v>32</v>
      </c>
      <c r="L21">
        <v>18</v>
      </c>
      <c r="M21">
        <v>18</v>
      </c>
      <c r="N21">
        <v>18</v>
      </c>
      <c r="O21">
        <v>18</v>
      </c>
    </row>
    <row r="22" spans="5:15">
      <c r="K22" t="s">
        <v>49</v>
      </c>
      <c r="L22">
        <v>10</v>
      </c>
      <c r="M22">
        <v>10</v>
      </c>
      <c r="N22">
        <v>10</v>
      </c>
      <c r="O22">
        <v>10</v>
      </c>
    </row>
    <row r="23" spans="5:15">
      <c r="K23" t="s">
        <v>65</v>
      </c>
      <c r="L23">
        <v>9</v>
      </c>
      <c r="M23">
        <v>9</v>
      </c>
      <c r="N23">
        <v>9</v>
      </c>
      <c r="O23">
        <v>9</v>
      </c>
    </row>
    <row r="24" spans="5:15">
      <c r="K24" t="s">
        <v>67</v>
      </c>
      <c r="L24">
        <v>3</v>
      </c>
      <c r="M24">
        <v>3</v>
      </c>
      <c r="N24">
        <v>3</v>
      </c>
      <c r="O24">
        <v>3</v>
      </c>
    </row>
    <row r="25" spans="5:15">
      <c r="K25" t="s">
        <v>71</v>
      </c>
      <c r="L25">
        <v>40</v>
      </c>
      <c r="M25">
        <v>40</v>
      </c>
      <c r="N25">
        <v>40</v>
      </c>
      <c r="O25">
        <v>40</v>
      </c>
    </row>
  </sheetData>
  <mergeCells count="5">
    <mergeCell ref="E5:F5"/>
    <mergeCell ref="H5:I5"/>
    <mergeCell ref="E13:F13"/>
    <mergeCell ref="H13:I13"/>
    <mergeCell ref="B1:J2"/>
  </mergeCells>
  <pageMargins left="0.75" right="0.75" top="1" bottom="1" header="0.5" footer="0.5"/>
  <headerFooter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workbookViewId="0">
      <selection activeCell="C19" sqref="C19"/>
    </sheetView>
  </sheetViews>
  <sheetFormatPr defaultColWidth="8.88888888888889" defaultRowHeight="14.4"/>
  <cols>
    <col min="1" max="1" width="34.6666666666667"/>
    <col min="2" max="2" width="41.4444444444444"/>
    <col min="6" max="6" width="25.8888888888889"/>
    <col min="7" max="7" width="15.8888888888889"/>
  </cols>
  <sheetData>
    <row r="1" spans="1:15">
      <c r="A1" s="6" t="s">
        <v>87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="15" customFormat="1" spans="1:1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5">
      <c r="A4" t="s">
        <v>18</v>
      </c>
      <c r="B4" t="s">
        <v>88</v>
      </c>
      <c r="F4" t="s">
        <v>23</v>
      </c>
      <c r="G4" t="s">
        <v>89</v>
      </c>
    </row>
    <row r="5" spans="1:15">
      <c r="A5" t="s">
        <v>66</v>
      </c>
      <c r="B5">
        <v>3</v>
      </c>
      <c r="F5" t="s">
        <v>45</v>
      </c>
      <c r="G5">
        <v>16</v>
      </c>
    </row>
    <row r="6" spans="1:15">
      <c r="A6" t="s">
        <v>42</v>
      </c>
      <c r="B6">
        <v>13</v>
      </c>
      <c r="F6" t="s">
        <v>58</v>
      </c>
      <c r="G6">
        <v>4</v>
      </c>
    </row>
    <row r="7" spans="1:15">
      <c r="A7" t="s">
        <v>33</v>
      </c>
      <c r="B7">
        <v>24</v>
      </c>
      <c r="F7" t="s">
        <v>37</v>
      </c>
      <c r="G7">
        <v>14</v>
      </c>
    </row>
    <row r="8" spans="1:15">
      <c r="A8" t="s">
        <v>71</v>
      </c>
      <c r="B8">
        <v>40</v>
      </c>
      <c r="F8" t="s">
        <v>52</v>
      </c>
      <c r="G8">
        <v>6</v>
      </c>
    </row>
    <row r="9" spans="1:15">
      <c r="F9" t="s">
        <v>71</v>
      </c>
      <c r="G9">
        <v>40</v>
      </c>
    </row>
  </sheetData>
  <mergeCells count="1">
    <mergeCell ref="A1:O2"/>
  </mergeCells>
  <pageMargins left="0.75" right="0.75" top="1" bottom="1" header="0.5" footer="0.5"/>
  <headerFooter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J4" sqref="J4:K8"/>
    </sheetView>
  </sheetViews>
  <sheetFormatPr defaultColWidth="8.88888888888889" defaultRowHeight="14.4"/>
  <cols>
    <col min="2" max="2" width="17.2222222222222"/>
    <col min="3" max="3" width="17.6666666666667"/>
    <col min="10" max="10" width="11.6666666666667"/>
    <col min="11" max="11" width="15.6666666666667"/>
  </cols>
  <sheetData>
    <row r="1" spans="1:14">
      <c r="A1" s="6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>
      <c r="B4" t="s">
        <v>14</v>
      </c>
      <c r="C4" t="s">
        <v>91</v>
      </c>
      <c r="J4" t="s">
        <v>16</v>
      </c>
      <c r="K4" t="s">
        <v>92</v>
      </c>
    </row>
    <row r="5" spans="1:14">
      <c r="B5" t="s">
        <v>29</v>
      </c>
      <c r="C5">
        <v>18</v>
      </c>
      <c r="J5" t="s">
        <v>55</v>
      </c>
      <c r="K5">
        <v>3</v>
      </c>
    </row>
    <row r="6" spans="1:14">
      <c r="B6" t="s">
        <v>47</v>
      </c>
      <c r="C6">
        <v>19</v>
      </c>
      <c r="J6" t="s">
        <v>31</v>
      </c>
      <c r="K6">
        <v>32</v>
      </c>
    </row>
    <row r="7" spans="1:14">
      <c r="B7" t="s">
        <v>54</v>
      </c>
      <c r="C7">
        <v>2</v>
      </c>
      <c r="J7" t="s">
        <v>61</v>
      </c>
      <c r="K7">
        <v>5</v>
      </c>
    </row>
    <row r="8" spans="1:14">
      <c r="B8" t="s">
        <v>40</v>
      </c>
      <c r="C8">
        <v>1</v>
      </c>
      <c r="J8" t="s">
        <v>71</v>
      </c>
      <c r="K8">
        <v>40</v>
      </c>
    </row>
    <row r="9" spans="1:14">
      <c r="B9" t="s">
        <v>71</v>
      </c>
      <c r="C9">
        <v>40</v>
      </c>
    </row>
  </sheetData>
  <mergeCells count="1">
    <mergeCell ref="A1:N2"/>
  </mergeCells>
  <pageMargins left="0.75" right="0.75" top="1" bottom="1" header="0.5" footer="0.5"/>
  <headerFooter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45"/>
  <sheetViews>
    <sheetView zoomScale="60" zoomScaleNormal="60" workbookViewId="0">
      <selection activeCell="L48" sqref="L48"/>
    </sheetView>
  </sheetViews>
  <sheetFormatPr defaultColWidth="8.88888888888889" defaultRowHeight="14.4"/>
  <cols>
    <col min="4" max="4" width="12.8888888888889"/>
    <col min="6" max="6" width="12.2222222222222" customWidth="1"/>
    <col min="12" max="12" width="12.8888888888889"/>
    <col min="32" max="33" width="8.88888888888889" hidden="1" customWidth="1"/>
    <col min="36" max="36" width="5.44444444444444" customWidth="1"/>
    <col min="37" max="37" width="18.7777777777778" customWidth="1"/>
    <col min="38" max="38" width="10.4444444444444" customWidth="1"/>
  </cols>
  <sheetData>
    <row r="1" spans="1:38">
      <c r="A1" s="6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3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15.15"/>
    <row r="5" ht="16.35" spans="1:38">
      <c r="A5" t="s">
        <v>94</v>
      </c>
      <c r="B5" t="s">
        <v>14</v>
      </c>
      <c r="C5" t="s">
        <v>16</v>
      </c>
      <c r="D5" s="7" t="s">
        <v>95</v>
      </c>
      <c r="E5" s="7"/>
      <c r="F5" s="7"/>
      <c r="AE5" t="s">
        <v>94</v>
      </c>
      <c r="AH5" t="s">
        <v>16</v>
      </c>
      <c r="AJ5" s="8" t="s">
        <v>1</v>
      </c>
      <c r="AK5" s="8" t="s">
        <v>14</v>
      </c>
      <c r="AL5" s="8" t="s">
        <v>16</v>
      </c>
    </row>
    <row r="6" ht="15.15" spans="1:38">
      <c r="A6">
        <v>34</v>
      </c>
      <c r="B6" s="9">
        <v>2</v>
      </c>
      <c r="C6" s="9">
        <v>2</v>
      </c>
      <c r="D6" s="10" cm="1">
        <f t="array" ref="D6">CORREL(A6:A45,B6:B45)</f>
        <v>0.0201129496677282</v>
      </c>
      <c r="E6" s="10"/>
      <c r="F6" s="10"/>
      <c r="AE6">
        <v>34</v>
      </c>
      <c r="AF6" t="str">
        <f>IF(Sheet1!O2="1-3 years","2",IF(Sheet1!O2="more than 5 years","5",IF(Sheet1!O2="3-5 years","3","1")))</f>
        <v>2</v>
      </c>
      <c r="AG6" t="str">
        <f>IF(Sheet1!Q2="20%-30%","2",IF(Sheet1!Q2="10%-20%","1",IF(Sheet1!Q2="30%-40%","3")))</f>
        <v>2</v>
      </c>
      <c r="AH6" s="9">
        <v>2</v>
      </c>
      <c r="AJ6" s="11">
        <v>34</v>
      </c>
      <c r="AK6" s="11" t="s">
        <v>29</v>
      </c>
      <c r="AL6" s="11" t="s">
        <v>31</v>
      </c>
    </row>
    <row r="7" ht="15.15" spans="1:38">
      <c r="A7">
        <v>23</v>
      </c>
      <c r="B7" s="9">
        <v>5</v>
      </c>
      <c r="C7" s="9">
        <v>2</v>
      </c>
      <c r="AE7">
        <v>23</v>
      </c>
      <c r="AF7" t="str">
        <f>IF(Sheet1!O3="1-3 years","2",IF(Sheet1!O3="more than 5 years","5",IF(Sheet1!O3="3-5 years","3","1")))</f>
        <v>5</v>
      </c>
      <c r="AG7" t="str">
        <f>IF(Sheet1!Q3="20%-30%","2",IF(Sheet1!Q3="10%-20%","1",IF(Sheet1!Q3="30%-40%","3")))</f>
        <v>2</v>
      </c>
      <c r="AH7" s="9">
        <v>2</v>
      </c>
      <c r="AJ7" s="11">
        <v>23</v>
      </c>
      <c r="AK7" s="11" t="s">
        <v>40</v>
      </c>
      <c r="AL7" s="11" t="s">
        <v>31</v>
      </c>
    </row>
    <row r="8" ht="15.15" spans="1:38">
      <c r="A8">
        <v>30</v>
      </c>
      <c r="B8" s="9">
        <v>3</v>
      </c>
      <c r="C8" s="9">
        <v>2</v>
      </c>
      <c r="D8" s="7" t="s">
        <v>96</v>
      </c>
      <c r="E8" s="7"/>
      <c r="F8" s="7"/>
      <c r="AE8">
        <v>30</v>
      </c>
      <c r="AF8" t="str">
        <f>IF(Sheet1!O4="1-3 years","2",IF(Sheet1!O4="more than 5 years","5",IF(Sheet1!O4="3-5 years","3","1")))</f>
        <v>3</v>
      </c>
      <c r="AG8" t="str">
        <f>IF(Sheet1!Q4="20%-30%","2",IF(Sheet1!Q4="10%-20%","1",IF(Sheet1!Q4="30%-40%","3")))</f>
        <v>2</v>
      </c>
      <c r="AH8" s="9">
        <v>2</v>
      </c>
      <c r="AJ8" s="11">
        <v>30</v>
      </c>
      <c r="AK8" s="11" t="s">
        <v>47</v>
      </c>
      <c r="AL8" s="11" t="s">
        <v>31</v>
      </c>
    </row>
    <row r="9" ht="15.15" spans="1:38">
      <c r="A9">
        <v>22</v>
      </c>
      <c r="B9" s="9">
        <v>1</v>
      </c>
      <c r="C9" s="9">
        <v>1</v>
      </c>
      <c r="D9" s="10" cm="1">
        <f t="array" ref="D9">CORREL(A6:A45,C6:C45)</f>
        <v>-0.0896056202407577</v>
      </c>
      <c r="E9" s="10"/>
      <c r="F9" s="10"/>
      <c r="AE9">
        <v>22</v>
      </c>
      <c r="AF9" t="str">
        <f>IF(Sheet1!O5="1-3 years","2",IF(Sheet1!O5="more than 5 years","5",IF(Sheet1!O5="3-5 years","3","1")))</f>
        <v>1</v>
      </c>
      <c r="AG9" t="str">
        <f>IF(Sheet1!Q5="20%-30%","2",IF(Sheet1!Q5="10%-20%","1",IF(Sheet1!Q5="30%-40%","3")))</f>
        <v>1</v>
      </c>
      <c r="AH9" s="9">
        <v>1</v>
      </c>
      <c r="AJ9" s="11">
        <v>22</v>
      </c>
      <c r="AK9" s="11" t="s">
        <v>54</v>
      </c>
      <c r="AL9" s="11" t="s">
        <v>55</v>
      </c>
    </row>
    <row r="10" ht="15.15" spans="1:38">
      <c r="A10">
        <v>24</v>
      </c>
      <c r="B10" s="9">
        <v>1</v>
      </c>
      <c r="C10" s="9">
        <v>2</v>
      </c>
      <c r="AE10">
        <v>24</v>
      </c>
      <c r="AF10" t="str">
        <f>IF(Sheet1!O6="1-3 years","2",IF(Sheet1!O6="more than 5 years","5",IF(Sheet1!O6="3-5 years","3","1")))</f>
        <v>1</v>
      </c>
      <c r="AG10" t="str">
        <f>IF(Sheet1!Q6="20%-30%","2",IF(Sheet1!Q6="10%-20%","1",IF(Sheet1!Q6="30%-40%","3")))</f>
        <v>2</v>
      </c>
      <c r="AH10" s="9">
        <v>2</v>
      </c>
      <c r="AJ10" s="11">
        <v>24</v>
      </c>
      <c r="AK10" s="11" t="s">
        <v>54</v>
      </c>
      <c r="AL10" s="11" t="s">
        <v>31</v>
      </c>
    </row>
    <row r="11" ht="15.15" spans="1:38">
      <c r="A11">
        <v>24</v>
      </c>
      <c r="B11" s="9">
        <v>2</v>
      </c>
      <c r="C11" s="9">
        <v>3</v>
      </c>
      <c r="D11" s="7" t="s">
        <v>97</v>
      </c>
      <c r="E11" s="7"/>
      <c r="F11" s="7"/>
      <c r="AE11">
        <v>24</v>
      </c>
      <c r="AF11" t="str">
        <f>IF(Sheet1!O7="1-3 years","2",IF(Sheet1!O7="more than 5 years","5",IF(Sheet1!O7="3-5 years","3","1")))</f>
        <v>2</v>
      </c>
      <c r="AG11" t="str">
        <f>IF(Sheet1!Q7="20%-30%","2",IF(Sheet1!Q7="10%-20%","1",IF(Sheet1!Q7="30%-40%","3")))</f>
        <v>3</v>
      </c>
      <c r="AH11" s="9">
        <v>3</v>
      </c>
      <c r="AJ11" s="11">
        <v>24</v>
      </c>
      <c r="AK11" s="11" t="s">
        <v>29</v>
      </c>
      <c r="AL11" s="11" t="s">
        <v>61</v>
      </c>
    </row>
    <row r="12" ht="15.15" spans="1:38">
      <c r="A12">
        <v>27</v>
      </c>
      <c r="B12" s="9">
        <v>3</v>
      </c>
      <c r="C12" s="9">
        <v>2</v>
      </c>
      <c r="D12" s="10" cm="1">
        <f t="array" ref="D12">CORREL(B6:B45,C6:C45)</f>
        <v>0.238667185252719</v>
      </c>
      <c r="E12" s="10"/>
      <c r="F12" s="10"/>
      <c r="AE12">
        <v>27</v>
      </c>
      <c r="AF12" t="str">
        <f>IF(Sheet1!O8="1-3 years","2",IF(Sheet1!O8="more than 5 years","5",IF(Sheet1!O8="3-5 years","3","1")))</f>
        <v>3</v>
      </c>
      <c r="AG12" t="str">
        <f>IF(Sheet1!Q8="20%-30%","2",IF(Sheet1!Q8="10%-20%","1",IF(Sheet1!Q8="30%-40%","3")))</f>
        <v>2</v>
      </c>
      <c r="AH12" s="9">
        <v>2</v>
      </c>
      <c r="AJ12" s="11">
        <v>27</v>
      </c>
      <c r="AK12" s="11" t="s">
        <v>47</v>
      </c>
      <c r="AL12" s="11" t="s">
        <v>31</v>
      </c>
    </row>
    <row r="13" ht="15.15" spans="1:38">
      <c r="A13">
        <v>21</v>
      </c>
      <c r="B13" s="9">
        <v>3</v>
      </c>
      <c r="C13" s="9">
        <v>2</v>
      </c>
      <c r="AE13">
        <v>21</v>
      </c>
      <c r="AF13" t="str">
        <f>IF(Sheet1!O9="1-3 years","2",IF(Sheet1!O9="more than 5 years","5",IF(Sheet1!O9="3-5 years","3","1")))</f>
        <v>3</v>
      </c>
      <c r="AG13" t="str">
        <f>IF(Sheet1!Q9="20%-30%","2",IF(Sheet1!Q9="10%-20%","1",IF(Sheet1!Q9="30%-40%","3")))</f>
        <v>2</v>
      </c>
      <c r="AH13" s="9">
        <v>2</v>
      </c>
      <c r="AJ13" s="11">
        <v>21</v>
      </c>
      <c r="AK13" s="11" t="s">
        <v>47</v>
      </c>
      <c r="AL13" s="11" t="s">
        <v>31</v>
      </c>
    </row>
    <row r="14" ht="15.15" spans="1:38">
      <c r="A14">
        <v>35</v>
      </c>
      <c r="B14" s="9">
        <v>2</v>
      </c>
      <c r="C14" s="9">
        <v>2</v>
      </c>
      <c r="AE14">
        <v>35</v>
      </c>
      <c r="AF14" t="str">
        <f>IF(Sheet1!O10="1-3 years","2",IF(Sheet1!O10="more than 5 years","5",IF(Sheet1!O10="3-5 years","3","1")))</f>
        <v>2</v>
      </c>
      <c r="AG14" t="str">
        <f>IF(Sheet1!Q10="20%-30%","2",IF(Sheet1!Q10="10%-20%","1",IF(Sheet1!Q10="30%-40%","3")))</f>
        <v>2</v>
      </c>
      <c r="AH14" s="9">
        <v>2</v>
      </c>
      <c r="AJ14" s="11">
        <v>35</v>
      </c>
      <c r="AK14" s="11" t="s">
        <v>29</v>
      </c>
      <c r="AL14" s="11" t="s">
        <v>31</v>
      </c>
    </row>
    <row r="15" ht="15.15" spans="1:38">
      <c r="A15">
        <v>31</v>
      </c>
      <c r="B15" s="9">
        <v>3</v>
      </c>
      <c r="C15" s="9">
        <v>3</v>
      </c>
      <c r="D15" s="12" t="s">
        <v>98</v>
      </c>
      <c r="E15" s="13"/>
      <c r="F15" s="13"/>
      <c r="G15" s="13"/>
      <c r="H15" s="13"/>
      <c r="I15" s="13"/>
      <c r="J15" s="13"/>
      <c r="K15" s="13"/>
      <c r="L15" s="13"/>
      <c r="AE15">
        <v>31</v>
      </c>
      <c r="AF15" t="str">
        <f>IF(Sheet1!O11="1-3 years","2",IF(Sheet1!O11="more than 5 years","5",IF(Sheet1!O11="3-5 years","3","1")))</f>
        <v>3</v>
      </c>
      <c r="AG15" t="str">
        <f>IF(Sheet1!Q11="20%-30%","2",IF(Sheet1!Q11="10%-20%","1",IF(Sheet1!Q11="30%-40%","3")))</f>
        <v>3</v>
      </c>
      <c r="AH15" s="9">
        <v>3</v>
      </c>
      <c r="AJ15" s="11">
        <v>31</v>
      </c>
      <c r="AK15" s="11" t="s">
        <v>47</v>
      </c>
      <c r="AL15" s="11" t="s">
        <v>61</v>
      </c>
    </row>
    <row r="16" ht="15.15" spans="1:38">
      <c r="A16">
        <v>35</v>
      </c>
      <c r="B16" s="9">
        <v>3</v>
      </c>
      <c r="C16" s="9">
        <v>2</v>
      </c>
      <c r="D16" s="13"/>
      <c r="E16" s="13"/>
      <c r="F16" s="13"/>
      <c r="G16" s="13"/>
      <c r="H16" s="13"/>
      <c r="I16" s="13"/>
      <c r="J16" s="13"/>
      <c r="K16" s="13"/>
      <c r="L16" s="13"/>
      <c r="AE16">
        <v>35</v>
      </c>
      <c r="AF16" t="str">
        <f>IF(Sheet1!O12="1-3 years","2",IF(Sheet1!O12="more than 5 years","5",IF(Sheet1!O12="3-5 years","3","1")))</f>
        <v>3</v>
      </c>
      <c r="AG16" t="str">
        <f>IF(Sheet1!Q12="20%-30%","2",IF(Sheet1!Q12="10%-20%","1",IF(Sheet1!Q12="30%-40%","3")))</f>
        <v>2</v>
      </c>
      <c r="AH16" s="9">
        <v>2</v>
      </c>
      <c r="AJ16" s="11">
        <v>35</v>
      </c>
      <c r="AK16" s="11" t="s">
        <v>47</v>
      </c>
      <c r="AL16" s="11" t="s">
        <v>31</v>
      </c>
    </row>
    <row r="17" ht="15.15" spans="1:38">
      <c r="A17">
        <v>29</v>
      </c>
      <c r="B17" s="9">
        <v>2</v>
      </c>
      <c r="C17" s="9">
        <v>2</v>
      </c>
      <c r="D17" s="13"/>
      <c r="E17" s="13"/>
      <c r="F17" s="13"/>
      <c r="G17" s="13"/>
      <c r="H17" s="13"/>
      <c r="I17" s="13"/>
      <c r="J17" s="13"/>
      <c r="K17" s="13"/>
      <c r="L17" s="13"/>
      <c r="AE17">
        <v>29</v>
      </c>
      <c r="AF17" t="str">
        <f>IF(Sheet1!O13="1-3 years","2",IF(Sheet1!O13="more than 5 years","5",IF(Sheet1!O13="3-5 years","3","1")))</f>
        <v>2</v>
      </c>
      <c r="AG17" t="str">
        <f>IF(Sheet1!Q13="20%-30%","2",IF(Sheet1!Q13="10%-20%","1",IF(Sheet1!Q13="30%-40%","3")))</f>
        <v>2</v>
      </c>
      <c r="AH17" s="9">
        <v>2</v>
      </c>
      <c r="AJ17" s="11">
        <v>29</v>
      </c>
      <c r="AK17" s="11" t="s">
        <v>29</v>
      </c>
      <c r="AL17" s="11" t="s">
        <v>31</v>
      </c>
    </row>
    <row r="18" ht="15.15" spans="1:38">
      <c r="A18">
        <v>21</v>
      </c>
      <c r="B18" s="9">
        <v>2</v>
      </c>
      <c r="C18" s="9">
        <v>2</v>
      </c>
      <c r="D18" s="13"/>
      <c r="E18" s="13"/>
      <c r="F18" s="13"/>
      <c r="G18" s="13"/>
      <c r="H18" s="13"/>
      <c r="I18" s="13"/>
      <c r="J18" s="13"/>
      <c r="K18" s="13"/>
      <c r="L18" s="13"/>
      <c r="AE18">
        <v>21</v>
      </c>
      <c r="AF18" t="str">
        <f>IF(Sheet1!O14="1-3 years","2",IF(Sheet1!O14="more than 5 years","5",IF(Sheet1!O14="3-5 years","3","1")))</f>
        <v>2</v>
      </c>
      <c r="AG18" t="str">
        <f>IF(Sheet1!Q14="20%-30%","2",IF(Sheet1!Q14="10%-20%","1",IF(Sheet1!Q14="30%-40%","3")))</f>
        <v>2</v>
      </c>
      <c r="AH18" s="9">
        <v>2</v>
      </c>
      <c r="AJ18" s="11">
        <v>21</v>
      </c>
      <c r="AK18" s="11" t="s">
        <v>29</v>
      </c>
      <c r="AL18" s="11" t="s">
        <v>31</v>
      </c>
    </row>
    <row r="19" ht="15.15" spans="1:38">
      <c r="A19">
        <v>28</v>
      </c>
      <c r="B19" s="9">
        <v>2</v>
      </c>
      <c r="C19" s="9">
        <v>2</v>
      </c>
      <c r="D19" s="13"/>
      <c r="E19" s="13"/>
      <c r="F19" s="13"/>
      <c r="G19" s="13"/>
      <c r="H19" s="13"/>
      <c r="I19" s="13"/>
      <c r="J19" s="13"/>
      <c r="K19" s="13"/>
      <c r="L19" s="13"/>
      <c r="AE19">
        <v>28</v>
      </c>
      <c r="AF19" t="str">
        <f>IF(Sheet1!O15="1-3 years","2",IF(Sheet1!O15="more than 5 years","5",IF(Sheet1!O15="3-5 years","3","1")))</f>
        <v>2</v>
      </c>
      <c r="AG19" t="str">
        <f>IF(Sheet1!Q15="20%-30%","2",IF(Sheet1!Q15="10%-20%","1",IF(Sheet1!Q15="30%-40%","3")))</f>
        <v>2</v>
      </c>
      <c r="AH19" s="9">
        <v>2</v>
      </c>
      <c r="AJ19" s="11">
        <v>28</v>
      </c>
      <c r="AK19" s="11" t="s">
        <v>29</v>
      </c>
      <c r="AL19" s="11" t="s">
        <v>31</v>
      </c>
    </row>
    <row r="20" ht="15.15" spans="1:38">
      <c r="A20">
        <v>25</v>
      </c>
      <c r="B20" s="9">
        <v>2</v>
      </c>
      <c r="C20" s="9">
        <v>2</v>
      </c>
      <c r="D20" s="13"/>
      <c r="E20" s="13"/>
      <c r="F20" s="13"/>
      <c r="G20" s="13"/>
      <c r="H20" s="13"/>
      <c r="I20" s="13"/>
      <c r="J20" s="13"/>
      <c r="K20" s="13"/>
      <c r="L20" s="13"/>
      <c r="AE20">
        <v>25</v>
      </c>
      <c r="AF20" t="str">
        <f>IF(Sheet1!O16="1-3 years","2",IF(Sheet1!O16="more than 5 years","5",IF(Sheet1!O16="3-5 years","3","1")))</f>
        <v>2</v>
      </c>
      <c r="AG20" t="str">
        <f>IF(Sheet1!Q16="20%-30%","2",IF(Sheet1!Q16="10%-20%","1",IF(Sheet1!Q16="30%-40%","3")))</f>
        <v>2</v>
      </c>
      <c r="AH20" s="9">
        <v>2</v>
      </c>
      <c r="AJ20" s="11">
        <v>25</v>
      </c>
      <c r="AK20" s="11" t="s">
        <v>29</v>
      </c>
      <c r="AL20" s="11" t="s">
        <v>31</v>
      </c>
    </row>
    <row r="21" ht="15.15" spans="1:38">
      <c r="A21">
        <v>27</v>
      </c>
      <c r="B21" s="9">
        <v>2</v>
      </c>
      <c r="C21" s="9">
        <v>2</v>
      </c>
      <c r="D21" s="14"/>
      <c r="E21" s="14"/>
      <c r="F21" s="14"/>
      <c r="G21" s="14"/>
      <c r="H21" s="14"/>
      <c r="I21" s="14"/>
      <c r="J21" s="14"/>
      <c r="K21" s="14"/>
      <c r="L21" s="14"/>
      <c r="AE21">
        <v>27</v>
      </c>
      <c r="AF21" t="str">
        <f>IF(Sheet1!O17="1-3 years","2",IF(Sheet1!O17="more than 5 years","5",IF(Sheet1!O17="3-5 years","3","1")))</f>
        <v>2</v>
      </c>
      <c r="AG21" t="str">
        <f>IF(Sheet1!Q17="20%-30%","2",IF(Sheet1!Q17="10%-20%","1",IF(Sheet1!Q17="30%-40%","3")))</f>
        <v>2</v>
      </c>
      <c r="AH21" s="9">
        <v>2</v>
      </c>
      <c r="AJ21" s="11">
        <v>27</v>
      </c>
      <c r="AK21" s="11" t="s">
        <v>29</v>
      </c>
      <c r="AL21" s="11" t="s">
        <v>31</v>
      </c>
    </row>
    <row r="22" ht="15.15" spans="1:38">
      <c r="A22">
        <v>28</v>
      </c>
      <c r="B22" s="9">
        <v>2</v>
      </c>
      <c r="C22" s="9">
        <v>2</v>
      </c>
      <c r="D22" s="14"/>
      <c r="E22" s="14"/>
      <c r="F22" s="14"/>
      <c r="G22" s="14"/>
      <c r="H22" s="14"/>
      <c r="I22" s="14"/>
      <c r="J22" s="14"/>
      <c r="K22" s="14"/>
      <c r="L22" s="14"/>
      <c r="AE22">
        <v>28</v>
      </c>
      <c r="AF22" t="str">
        <f>IF(Sheet1!O18="1-3 years","2",IF(Sheet1!O18="more than 5 years","5",IF(Sheet1!O18="3-5 years","3","1")))</f>
        <v>2</v>
      </c>
      <c r="AG22" t="str">
        <f>IF(Sheet1!Q18="20%-30%","2",IF(Sheet1!Q18="10%-20%","1",IF(Sheet1!Q18="30%-40%","3")))</f>
        <v>2</v>
      </c>
      <c r="AH22" s="9">
        <v>2</v>
      </c>
      <c r="AJ22" s="11">
        <v>28</v>
      </c>
      <c r="AK22" s="11" t="s">
        <v>29</v>
      </c>
      <c r="AL22" s="11" t="s">
        <v>31</v>
      </c>
    </row>
    <row r="23" ht="15.15" spans="1:38">
      <c r="A23">
        <v>27</v>
      </c>
      <c r="B23" s="9">
        <v>2</v>
      </c>
      <c r="C23" s="9">
        <v>2</v>
      </c>
      <c r="D23" s="14"/>
      <c r="E23" s="14"/>
      <c r="F23" s="14"/>
      <c r="G23" s="14"/>
      <c r="H23" s="14"/>
      <c r="I23" s="14"/>
      <c r="J23" s="14"/>
      <c r="K23" s="14"/>
      <c r="L23" s="14"/>
      <c r="AE23">
        <v>27</v>
      </c>
      <c r="AF23" t="str">
        <f>IF(Sheet1!O19="1-3 years","2",IF(Sheet1!O19="more than 5 years","5",IF(Sheet1!O19="3-5 years","3","1")))</f>
        <v>2</v>
      </c>
      <c r="AG23" t="str">
        <f>IF(Sheet1!Q19="20%-30%","2",IF(Sheet1!Q19="10%-20%","1",IF(Sheet1!Q19="30%-40%","3")))</f>
        <v>2</v>
      </c>
      <c r="AH23" s="9">
        <v>2</v>
      </c>
      <c r="AJ23" s="11">
        <v>27</v>
      </c>
      <c r="AK23" s="11" t="s">
        <v>29</v>
      </c>
      <c r="AL23" s="11" t="s">
        <v>31</v>
      </c>
    </row>
    <row r="24" ht="15.15" spans="1:38">
      <c r="A24">
        <v>29</v>
      </c>
      <c r="B24" s="9">
        <v>2</v>
      </c>
      <c r="C24" s="9">
        <v>2</v>
      </c>
      <c r="D24" s="14"/>
      <c r="E24" s="14"/>
      <c r="F24" s="14"/>
      <c r="G24" s="14"/>
      <c r="H24" s="14"/>
      <c r="I24" s="14"/>
      <c r="J24" s="14"/>
      <c r="K24" s="14"/>
      <c r="L24" s="14"/>
      <c r="AE24">
        <v>29</v>
      </c>
      <c r="AF24" t="str">
        <f>IF(Sheet1!O20="1-3 years","2",IF(Sheet1!O20="more than 5 years","5",IF(Sheet1!O20="3-5 years","3","1")))</f>
        <v>2</v>
      </c>
      <c r="AG24" t="str">
        <f>IF(Sheet1!Q20="20%-30%","2",IF(Sheet1!Q20="10%-20%","1",IF(Sheet1!Q20="30%-40%","3")))</f>
        <v>2</v>
      </c>
      <c r="AH24" s="9">
        <v>2</v>
      </c>
      <c r="AJ24" s="11">
        <v>29</v>
      </c>
      <c r="AK24" s="11" t="s">
        <v>29</v>
      </c>
      <c r="AL24" s="11" t="s">
        <v>31</v>
      </c>
    </row>
    <row r="25" ht="15.15" spans="1:38">
      <c r="A25">
        <v>26</v>
      </c>
      <c r="B25" s="9">
        <v>3</v>
      </c>
      <c r="C25" s="9">
        <v>2</v>
      </c>
      <c r="D25" s="14"/>
      <c r="E25" s="14"/>
      <c r="F25" s="14"/>
      <c r="G25" s="14"/>
      <c r="H25" s="14"/>
      <c r="I25" s="14"/>
      <c r="J25" s="14"/>
      <c r="K25" s="14"/>
      <c r="L25" s="14"/>
      <c r="AE25">
        <v>26</v>
      </c>
      <c r="AF25" t="str">
        <f>IF(Sheet1!O21="1-3 years","2",IF(Sheet1!O21="more than 5 years","5",IF(Sheet1!O21="3-5 years","3","1")))</f>
        <v>3</v>
      </c>
      <c r="AG25" t="str">
        <f>IF(Sheet1!Q21="20%-30%","2",IF(Sheet1!Q21="10%-20%","1",IF(Sheet1!Q21="30%-40%","3")))</f>
        <v>2</v>
      </c>
      <c r="AH25" s="9">
        <v>2</v>
      </c>
      <c r="AJ25" s="11">
        <v>26</v>
      </c>
      <c r="AK25" s="11" t="s">
        <v>47</v>
      </c>
      <c r="AL25" s="11" t="s">
        <v>31</v>
      </c>
    </row>
    <row r="26" ht="15.15" spans="1:38">
      <c r="A26">
        <v>29</v>
      </c>
      <c r="B26" s="9">
        <v>3</v>
      </c>
      <c r="C26" s="9">
        <v>2</v>
      </c>
      <c r="D26" s="14"/>
      <c r="E26" s="14"/>
      <c r="F26" s="14"/>
      <c r="G26" s="14"/>
      <c r="H26" s="14"/>
      <c r="I26" s="14"/>
      <c r="J26" s="14"/>
      <c r="K26" s="14"/>
      <c r="L26" s="14"/>
      <c r="AE26">
        <v>29</v>
      </c>
      <c r="AF26" t="str">
        <f>IF(Sheet1!O22="1-3 years","2",IF(Sheet1!O22="more than 5 years","5",IF(Sheet1!O22="3-5 years","3","1")))</f>
        <v>3</v>
      </c>
      <c r="AG26" t="str">
        <f>IF(Sheet1!Q22="20%-30%","2",IF(Sheet1!Q22="10%-20%","1",IF(Sheet1!Q22="30%-40%","3")))</f>
        <v>2</v>
      </c>
      <c r="AH26" s="9">
        <v>2</v>
      </c>
      <c r="AJ26" s="11">
        <v>29</v>
      </c>
      <c r="AK26" s="11" t="s">
        <v>47</v>
      </c>
      <c r="AL26" s="11" t="s">
        <v>31</v>
      </c>
    </row>
    <row r="27" ht="15.15" spans="1:38">
      <c r="A27">
        <v>24</v>
      </c>
      <c r="B27" s="9">
        <v>3</v>
      </c>
      <c r="C27" s="9">
        <v>2</v>
      </c>
      <c r="D27" s="14"/>
      <c r="E27" s="14"/>
      <c r="F27" s="14"/>
      <c r="G27" s="14"/>
      <c r="H27" s="14"/>
      <c r="I27" s="14"/>
      <c r="J27" s="14"/>
      <c r="K27" s="14"/>
      <c r="L27" s="14"/>
      <c r="AE27">
        <v>24</v>
      </c>
      <c r="AF27" t="str">
        <f>IF(Sheet1!O23="1-3 years","2",IF(Sheet1!O23="more than 5 years","5",IF(Sheet1!O23="3-5 years","3","1")))</f>
        <v>3</v>
      </c>
      <c r="AG27" t="str">
        <f>IF(Sheet1!Q23="20%-30%","2",IF(Sheet1!Q23="10%-20%","1",IF(Sheet1!Q23="30%-40%","3")))</f>
        <v>2</v>
      </c>
      <c r="AH27" s="9">
        <v>2</v>
      </c>
      <c r="AJ27" s="11">
        <v>24</v>
      </c>
      <c r="AK27" s="11" t="s">
        <v>47</v>
      </c>
      <c r="AL27" s="11" t="s">
        <v>31</v>
      </c>
    </row>
    <row r="28" ht="15.15" spans="1:38">
      <c r="A28">
        <v>27</v>
      </c>
      <c r="B28" s="9">
        <v>3</v>
      </c>
      <c r="C28" s="9">
        <v>2</v>
      </c>
      <c r="D28" s="14"/>
      <c r="E28" s="14"/>
      <c r="F28" s="14"/>
      <c r="G28" s="14"/>
      <c r="H28" s="14"/>
      <c r="I28" s="14"/>
      <c r="J28" s="14"/>
      <c r="K28" s="14"/>
      <c r="L28" s="14"/>
      <c r="AE28">
        <v>27</v>
      </c>
      <c r="AF28" t="str">
        <f>IF(Sheet1!O24="1-3 years","2",IF(Sheet1!O24="more than 5 years","5",IF(Sheet1!O24="3-5 years","3","1")))</f>
        <v>3</v>
      </c>
      <c r="AG28" t="str">
        <f>IF(Sheet1!Q24="20%-30%","2",IF(Sheet1!Q24="10%-20%","1",IF(Sheet1!Q24="30%-40%","3")))</f>
        <v>2</v>
      </c>
      <c r="AH28" s="9">
        <v>2</v>
      </c>
      <c r="AJ28" s="11">
        <v>27</v>
      </c>
      <c r="AK28" s="11" t="s">
        <v>47</v>
      </c>
      <c r="AL28" s="11" t="s">
        <v>31</v>
      </c>
    </row>
    <row r="29" ht="15.15" spans="1:38">
      <c r="A29">
        <v>25</v>
      </c>
      <c r="B29" s="9">
        <v>3</v>
      </c>
      <c r="C29" s="9">
        <v>2</v>
      </c>
      <c r="D29" s="14"/>
      <c r="E29" s="14"/>
      <c r="F29" s="14"/>
      <c r="G29" s="14"/>
      <c r="H29" s="14"/>
      <c r="I29" s="14"/>
      <c r="J29" s="14"/>
      <c r="K29" s="14"/>
      <c r="L29" s="14"/>
      <c r="AE29">
        <v>25</v>
      </c>
      <c r="AF29" t="str">
        <f>IF(Sheet1!O25="1-3 years","2",IF(Sheet1!O25="more than 5 years","5",IF(Sheet1!O25="3-5 years","3","1")))</f>
        <v>3</v>
      </c>
      <c r="AG29" t="str">
        <f>IF(Sheet1!Q25="20%-30%","2",IF(Sheet1!Q25="10%-20%","1",IF(Sheet1!Q25="30%-40%","3")))</f>
        <v>2</v>
      </c>
      <c r="AH29" s="9">
        <v>2</v>
      </c>
      <c r="AJ29" s="11">
        <v>25</v>
      </c>
      <c r="AK29" s="11" t="s">
        <v>47</v>
      </c>
      <c r="AL29" s="11" t="s">
        <v>31</v>
      </c>
    </row>
    <row r="30" ht="15.15" spans="1:38">
      <c r="A30">
        <v>26</v>
      </c>
      <c r="B30" s="9">
        <v>3</v>
      </c>
      <c r="C30" s="9">
        <v>3</v>
      </c>
      <c r="D30" s="14"/>
      <c r="E30" s="14"/>
      <c r="F30" s="14"/>
      <c r="G30" s="14"/>
      <c r="H30" s="14"/>
      <c r="I30" s="14"/>
      <c r="J30" s="14"/>
      <c r="K30" s="14"/>
      <c r="L30" s="14"/>
      <c r="AE30">
        <v>26</v>
      </c>
      <c r="AF30" t="str">
        <f>IF(Sheet1!O26="1-3 years","2",IF(Sheet1!O26="more than 5 years","5",IF(Sheet1!O26="3-5 years","3","1")))</f>
        <v>3</v>
      </c>
      <c r="AG30" t="str">
        <f>IF(Sheet1!Q26="20%-30%","2",IF(Sheet1!Q26="10%-20%","1",IF(Sheet1!Q26="30%-40%","3")))</f>
        <v>3</v>
      </c>
      <c r="AH30" s="9">
        <v>3</v>
      </c>
      <c r="AJ30" s="11">
        <v>26</v>
      </c>
      <c r="AK30" s="11" t="s">
        <v>47</v>
      </c>
      <c r="AL30" s="11" t="s">
        <v>61</v>
      </c>
    </row>
    <row r="31" ht="15.15" spans="1:38">
      <c r="A31">
        <v>32</v>
      </c>
      <c r="B31" s="9">
        <v>3</v>
      </c>
      <c r="C31" s="9">
        <v>2</v>
      </c>
      <c r="D31" s="14"/>
      <c r="E31" s="14"/>
      <c r="F31" s="14"/>
      <c r="G31" s="14"/>
      <c r="H31" s="14"/>
      <c r="I31" s="14"/>
      <c r="J31" s="14"/>
      <c r="K31" s="14"/>
      <c r="L31" s="14"/>
      <c r="AE31">
        <v>32</v>
      </c>
      <c r="AF31" t="str">
        <f>IF(Sheet1!O27="1-3 years","2",IF(Sheet1!O27="more than 5 years","5",IF(Sheet1!O27="3-5 years","3","1")))</f>
        <v>3</v>
      </c>
      <c r="AG31" t="str">
        <f>IF(Sheet1!Q27="20%-30%","2",IF(Sheet1!Q27="10%-20%","1",IF(Sheet1!Q27="30%-40%","3")))</f>
        <v>2</v>
      </c>
      <c r="AH31" s="9">
        <v>2</v>
      </c>
      <c r="AJ31" s="11">
        <v>32</v>
      </c>
      <c r="AK31" s="11" t="s">
        <v>47</v>
      </c>
      <c r="AL31" s="11" t="s">
        <v>31</v>
      </c>
    </row>
    <row r="32" ht="15.15" spans="1:38">
      <c r="A32">
        <v>26</v>
      </c>
      <c r="B32" s="9">
        <v>3</v>
      </c>
      <c r="C32" s="9">
        <v>2</v>
      </c>
      <c r="D32" s="14"/>
      <c r="E32" s="14"/>
      <c r="F32" s="14"/>
      <c r="G32" s="14"/>
      <c r="H32" s="14"/>
      <c r="I32" s="14"/>
      <c r="J32" s="14"/>
      <c r="K32" s="14"/>
      <c r="L32" s="14"/>
      <c r="AE32">
        <v>26</v>
      </c>
      <c r="AF32" t="str">
        <f>IF(Sheet1!O28="1-3 years","2",IF(Sheet1!O28="more than 5 years","5",IF(Sheet1!O28="3-5 years","3","1")))</f>
        <v>3</v>
      </c>
      <c r="AG32" t="str">
        <f>IF(Sheet1!Q28="20%-30%","2",IF(Sheet1!Q28="10%-20%","1",IF(Sheet1!Q28="30%-40%","3")))</f>
        <v>2</v>
      </c>
      <c r="AH32" s="9">
        <v>2</v>
      </c>
      <c r="AJ32" s="11">
        <v>26</v>
      </c>
      <c r="AK32" s="11" t="s">
        <v>47</v>
      </c>
      <c r="AL32" s="11" t="s">
        <v>31</v>
      </c>
    </row>
    <row r="33" ht="15.15" spans="1:38">
      <c r="A33">
        <v>31</v>
      </c>
      <c r="B33" s="9">
        <v>2</v>
      </c>
      <c r="C33" s="9">
        <v>2</v>
      </c>
      <c r="D33" s="14"/>
      <c r="E33" s="14"/>
      <c r="F33" s="14"/>
      <c r="G33" s="14"/>
      <c r="H33" s="14"/>
      <c r="I33" s="14"/>
      <c r="J33" s="14"/>
      <c r="K33" s="14"/>
      <c r="L33" s="14"/>
      <c r="AE33">
        <v>31</v>
      </c>
      <c r="AF33" t="str">
        <f>IF(Sheet1!O29="1-3 years","2",IF(Sheet1!O29="more than 5 years","5",IF(Sheet1!O29="3-5 years","3","1")))</f>
        <v>2</v>
      </c>
      <c r="AG33" t="str">
        <f>IF(Sheet1!Q29="20%-30%","2",IF(Sheet1!Q29="10%-20%","1",IF(Sheet1!Q29="30%-40%","3")))</f>
        <v>2</v>
      </c>
      <c r="AH33" s="9">
        <v>2</v>
      </c>
      <c r="AJ33" s="11">
        <v>31</v>
      </c>
      <c r="AK33" s="11" t="s">
        <v>29</v>
      </c>
      <c r="AL33" s="11" t="s">
        <v>31</v>
      </c>
    </row>
    <row r="34" ht="15.15" spans="1:38">
      <c r="A34">
        <v>29</v>
      </c>
      <c r="B34" s="9">
        <v>2</v>
      </c>
      <c r="C34" s="9">
        <v>2</v>
      </c>
      <c r="D34" s="14"/>
      <c r="E34" s="14"/>
      <c r="F34" s="14"/>
      <c r="G34" s="14"/>
      <c r="H34" s="14"/>
      <c r="I34" s="14"/>
      <c r="J34" s="14"/>
      <c r="K34" s="14"/>
      <c r="L34" s="14"/>
      <c r="AE34">
        <v>29</v>
      </c>
      <c r="AF34" t="str">
        <f>IF(Sheet1!O30="1-3 years","2",IF(Sheet1!O30="more than 5 years","5",IF(Sheet1!O30="3-5 years","3","1")))</f>
        <v>2</v>
      </c>
      <c r="AG34" t="str">
        <f>IF(Sheet1!Q30="20%-30%","2",IF(Sheet1!Q30="10%-20%","1",IF(Sheet1!Q30="30%-40%","3")))</f>
        <v>2</v>
      </c>
      <c r="AH34" s="9">
        <v>2</v>
      </c>
      <c r="AJ34" s="11">
        <v>29</v>
      </c>
      <c r="AK34" s="11" t="s">
        <v>29</v>
      </c>
      <c r="AL34" s="11" t="s">
        <v>31</v>
      </c>
    </row>
    <row r="35" ht="15.15" spans="1:38">
      <c r="A35">
        <v>34</v>
      </c>
      <c r="B35" s="9">
        <v>3</v>
      </c>
      <c r="C35" s="9">
        <v>1</v>
      </c>
      <c r="AE35">
        <v>34</v>
      </c>
      <c r="AF35" t="str">
        <f>IF(Sheet1!O31="1-3 years","2",IF(Sheet1!O31="more than 5 years","5",IF(Sheet1!O31="3-5 years","3","1")))</f>
        <v>3</v>
      </c>
      <c r="AG35" t="str">
        <f>IF(Sheet1!Q31="20%-30%","2",IF(Sheet1!Q31="10%-20%","1",IF(Sheet1!Q31="30%-40%","3")))</f>
        <v>1</v>
      </c>
      <c r="AH35" s="9">
        <v>1</v>
      </c>
      <c r="AJ35" s="11">
        <v>34</v>
      </c>
      <c r="AK35" s="11" t="s">
        <v>47</v>
      </c>
      <c r="AL35" s="11" t="s">
        <v>55</v>
      </c>
    </row>
    <row r="36" ht="15.15" spans="1:38">
      <c r="A36">
        <v>27</v>
      </c>
      <c r="B36" s="9">
        <v>2</v>
      </c>
      <c r="C36" s="9">
        <v>1</v>
      </c>
      <c r="AE36">
        <v>27</v>
      </c>
      <c r="AF36" t="str">
        <f>IF(Sheet1!O32="1-3 years","2",IF(Sheet1!O32="more than 5 years","5",IF(Sheet1!O32="3-5 years","3","1")))</f>
        <v>2</v>
      </c>
      <c r="AG36" t="str">
        <f>IF(Sheet1!Q32="20%-30%","2",IF(Sheet1!Q32="10%-20%","1",IF(Sheet1!Q32="30%-40%","3")))</f>
        <v>1</v>
      </c>
      <c r="AH36" s="9">
        <v>1</v>
      </c>
      <c r="AJ36" s="11">
        <v>27</v>
      </c>
      <c r="AK36" s="11" t="s">
        <v>29</v>
      </c>
      <c r="AL36" s="11" t="s">
        <v>55</v>
      </c>
    </row>
    <row r="37" ht="15.15" spans="1:38">
      <c r="A37">
        <v>31</v>
      </c>
      <c r="B37" s="9">
        <v>3</v>
      </c>
      <c r="C37" s="9">
        <v>2</v>
      </c>
      <c r="AE37">
        <v>31</v>
      </c>
      <c r="AF37" t="str">
        <f>IF(Sheet1!O33="1-3 years","2",IF(Sheet1!O33="more than 5 years","5",IF(Sheet1!O33="3-5 years","3","1")))</f>
        <v>3</v>
      </c>
      <c r="AG37" t="str">
        <f>IF(Sheet1!Q33="20%-30%","2",IF(Sheet1!Q33="10%-20%","1",IF(Sheet1!Q33="30%-40%","3")))</f>
        <v>2</v>
      </c>
      <c r="AH37" s="9">
        <v>2</v>
      </c>
      <c r="AJ37" s="11">
        <v>31</v>
      </c>
      <c r="AK37" s="11" t="s">
        <v>47</v>
      </c>
      <c r="AL37" s="11" t="s">
        <v>31</v>
      </c>
    </row>
    <row r="38" ht="15.15" spans="1:38">
      <c r="A38">
        <v>27</v>
      </c>
      <c r="B38" s="9">
        <v>3</v>
      </c>
      <c r="C38" s="9">
        <v>3</v>
      </c>
      <c r="AE38">
        <v>27</v>
      </c>
      <c r="AF38" t="str">
        <f>IF(Sheet1!O34="1-3 years","2",IF(Sheet1!O34="more than 5 years","5",IF(Sheet1!O34="3-5 years","3","1")))</f>
        <v>3</v>
      </c>
      <c r="AG38" t="str">
        <f>IF(Sheet1!Q34="20%-30%","2",IF(Sheet1!Q34="10%-20%","1",IF(Sheet1!Q34="30%-40%","3")))</f>
        <v>3</v>
      </c>
      <c r="AH38" s="9">
        <v>3</v>
      </c>
      <c r="AJ38" s="11">
        <v>27</v>
      </c>
      <c r="AK38" s="11" t="s">
        <v>47</v>
      </c>
      <c r="AL38" s="11" t="s">
        <v>61</v>
      </c>
    </row>
    <row r="39" ht="15.15" spans="1:38">
      <c r="A39">
        <v>26</v>
      </c>
      <c r="B39" s="9">
        <v>2</v>
      </c>
      <c r="C39" s="9">
        <v>2</v>
      </c>
      <c r="AE39">
        <v>26</v>
      </c>
      <c r="AF39" t="str">
        <f>IF(Sheet1!O35="1-3 years","2",IF(Sheet1!O35="more than 5 years","5",IF(Sheet1!O35="3-5 years","3","1")))</f>
        <v>2</v>
      </c>
      <c r="AG39" t="str">
        <f>IF(Sheet1!Q35="20%-30%","2",IF(Sheet1!Q35="10%-20%","1",IF(Sheet1!Q35="30%-40%","3")))</f>
        <v>2</v>
      </c>
      <c r="AH39" s="9">
        <v>2</v>
      </c>
      <c r="AJ39" s="11">
        <v>26</v>
      </c>
      <c r="AK39" s="11" t="s">
        <v>29</v>
      </c>
      <c r="AL39" s="11" t="s">
        <v>31</v>
      </c>
    </row>
    <row r="40" ht="15.15" spans="1:38">
      <c r="A40">
        <v>27</v>
      </c>
      <c r="B40" s="9">
        <v>2</v>
      </c>
      <c r="C40" s="9">
        <v>2</v>
      </c>
      <c r="AE40">
        <v>27</v>
      </c>
      <c r="AF40" t="str">
        <f>IF(Sheet1!O36="1-3 years","2",IF(Sheet1!O36="more than 5 years","5",IF(Sheet1!O36="3-5 years","3","1")))</f>
        <v>2</v>
      </c>
      <c r="AG40" t="str">
        <f>IF(Sheet1!Q36="20%-30%","2",IF(Sheet1!Q36="10%-20%","1",IF(Sheet1!Q36="30%-40%","3")))</f>
        <v>2</v>
      </c>
      <c r="AH40" s="9">
        <v>2</v>
      </c>
      <c r="AJ40" s="11">
        <v>27</v>
      </c>
      <c r="AK40" s="11" t="s">
        <v>29</v>
      </c>
      <c r="AL40" s="11" t="s">
        <v>31</v>
      </c>
    </row>
    <row r="41" ht="15.15" spans="1:38">
      <c r="A41">
        <v>30</v>
      </c>
      <c r="B41" s="9">
        <v>3</v>
      </c>
      <c r="C41" s="9">
        <v>2</v>
      </c>
      <c r="AE41">
        <v>30</v>
      </c>
      <c r="AF41" t="str">
        <f>IF(Sheet1!O37="1-3 years","2",IF(Sheet1!O37="more than 5 years","5",IF(Sheet1!O37="3-5 years","3","1")))</f>
        <v>3</v>
      </c>
      <c r="AG41" t="str">
        <f>IF(Sheet1!Q37="20%-30%","2",IF(Sheet1!Q37="10%-20%","1",IF(Sheet1!Q37="30%-40%","3")))</f>
        <v>2</v>
      </c>
      <c r="AH41" s="9">
        <v>2</v>
      </c>
      <c r="AJ41" s="11">
        <v>30</v>
      </c>
      <c r="AK41" s="11" t="s">
        <v>47</v>
      </c>
      <c r="AL41" s="11" t="s">
        <v>31</v>
      </c>
    </row>
    <row r="42" ht="15.15" spans="1:38">
      <c r="A42">
        <v>30</v>
      </c>
      <c r="B42" s="9">
        <v>2</v>
      </c>
      <c r="C42" s="9">
        <v>2</v>
      </c>
      <c r="AE42">
        <v>30</v>
      </c>
      <c r="AF42" t="str">
        <f>IF(Sheet1!O38="1-3 years","2",IF(Sheet1!O38="more than 5 years","5",IF(Sheet1!O38="3-5 years","3","1")))</f>
        <v>2</v>
      </c>
      <c r="AG42" t="str">
        <f>IF(Sheet1!Q38="20%-30%","2",IF(Sheet1!Q38="10%-20%","1",IF(Sheet1!Q38="30%-40%","3")))</f>
        <v>2</v>
      </c>
      <c r="AH42" s="9">
        <v>2</v>
      </c>
      <c r="AJ42" s="11">
        <v>30</v>
      </c>
      <c r="AK42" s="11" t="s">
        <v>29</v>
      </c>
      <c r="AL42" s="11" t="s">
        <v>31</v>
      </c>
    </row>
    <row r="43" ht="15.15" spans="1:38">
      <c r="A43">
        <v>25</v>
      </c>
      <c r="B43" s="9">
        <v>3</v>
      </c>
      <c r="C43" s="9">
        <v>3</v>
      </c>
      <c r="AE43">
        <v>25</v>
      </c>
      <c r="AF43" t="str">
        <f>IF(Sheet1!O39="1-3 years","2",IF(Sheet1!O39="more than 5 years","5",IF(Sheet1!O39="3-5 years","3","1")))</f>
        <v>3</v>
      </c>
      <c r="AG43" t="str">
        <f>IF(Sheet1!Q39="20%-30%","2",IF(Sheet1!Q39="10%-20%","1",IF(Sheet1!Q39="30%-40%","3")))</f>
        <v>3</v>
      </c>
      <c r="AH43" s="9">
        <v>3</v>
      </c>
      <c r="AJ43" s="11">
        <v>25</v>
      </c>
      <c r="AK43" s="11" t="s">
        <v>47</v>
      </c>
      <c r="AL43" s="11" t="s">
        <v>61</v>
      </c>
    </row>
    <row r="44" ht="15.15" spans="1:38">
      <c r="A44">
        <v>31</v>
      </c>
      <c r="B44" s="9">
        <v>2</v>
      </c>
      <c r="C44" s="9">
        <v>2</v>
      </c>
      <c r="AE44">
        <v>31</v>
      </c>
      <c r="AF44" t="str">
        <f>IF(Sheet1!O40="1-3 years","2",IF(Sheet1!O40="more than 5 years","5",IF(Sheet1!O40="3-5 years","3","1")))</f>
        <v>2</v>
      </c>
      <c r="AG44" t="str">
        <f>IF(Sheet1!Q40="20%-30%","2",IF(Sheet1!Q40="10%-20%","1",IF(Sheet1!Q40="30%-40%","3")))</f>
        <v>2</v>
      </c>
      <c r="AH44" s="9">
        <v>2</v>
      </c>
      <c r="AJ44" s="11">
        <v>31</v>
      </c>
      <c r="AK44" s="11" t="s">
        <v>29</v>
      </c>
      <c r="AL44" s="11" t="s">
        <v>31</v>
      </c>
    </row>
    <row r="45" ht="15.15" spans="1:38">
      <c r="A45">
        <v>29</v>
      </c>
      <c r="B45" s="9">
        <v>3</v>
      </c>
      <c r="C45" s="9">
        <v>2</v>
      </c>
      <c r="AE45">
        <v>29</v>
      </c>
      <c r="AF45" t="str">
        <f>IF(Sheet1!O41="1-3 years","2",IF(Sheet1!O41="more than 5 years","5",IF(Sheet1!O41="3-5 years","3","1")))</f>
        <v>3</v>
      </c>
      <c r="AG45" t="str">
        <f>IF(Sheet1!Q41="20%-30%","2",IF(Sheet1!Q41="10%-20%","1",IF(Sheet1!Q41="30%-40%","3")))</f>
        <v>2</v>
      </c>
      <c r="AH45" s="9">
        <v>2</v>
      </c>
      <c r="AJ45" s="11">
        <v>29</v>
      </c>
      <c r="AK45" s="11" t="s">
        <v>47</v>
      </c>
      <c r="AL45" s="11" t="s">
        <v>31</v>
      </c>
    </row>
  </sheetData>
  <mergeCells count="8">
    <mergeCell ref="D5:F5"/>
    <mergeCell ref="D6:F6"/>
    <mergeCell ref="D8:F8"/>
    <mergeCell ref="D9:F9"/>
    <mergeCell ref="D11:F11"/>
    <mergeCell ref="D12:F12"/>
    <mergeCell ref="D15:L20"/>
    <mergeCell ref="A1:O2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1"/>
  <sheetViews>
    <sheetView zoomScale="93" zoomScaleNormal="93" topLeftCell="M1" workbookViewId="0">
      <selection activeCell="N13" sqref="N12:S25"/>
    </sheetView>
  </sheetViews>
  <sheetFormatPr defaultColWidth="8.88888888888889" defaultRowHeight="14.4"/>
  <cols>
    <col min="1" max="1" width="11.6666666666667"/>
    <col min="2" max="2" width="18.6666666666667"/>
    <col min="3" max="3" width="17.2222222222222"/>
    <col min="4" max="4" width="17.6666666666667"/>
    <col min="5" max="5" width="17.8888888888889"/>
    <col min="6" max="6" width="11.6666666666667"/>
    <col min="7" max="7" width="15.6666666666667"/>
    <col min="9" max="9" width="34.6666666666667"/>
    <col min="10" max="10" width="41.4444444444444"/>
    <col min="11" max="11" width="21.0092592592593"/>
    <col min="12" max="12" width="18.6666666666667"/>
    <col min="13" max="13" width="19.2222222222222"/>
    <col min="14" max="14" width="26"/>
    <col min="15" max="18" width="20.1111111111111"/>
    <col min="19" max="19" width="18.6666666666667" customWidth="1"/>
    <col min="20" max="27" width="26"/>
  </cols>
  <sheetData>
    <row r="1" spans="1:26">
      <c r="A1" s="1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5" ht="21" spans="1:26">
      <c r="B5" s="3" t="s">
        <v>73</v>
      </c>
      <c r="C5" s="4"/>
      <c r="E5" s="3" t="s">
        <v>74</v>
      </c>
      <c r="F5" s="4"/>
      <c r="I5" t="s">
        <v>18</v>
      </c>
      <c r="J5" t="s">
        <v>88</v>
      </c>
      <c r="N5" t="s">
        <v>79</v>
      </c>
      <c r="O5" t="s">
        <v>27</v>
      </c>
      <c r="P5" t="s">
        <v>43</v>
      </c>
      <c r="Q5" t="s">
        <v>62</v>
      </c>
      <c r="R5" t="s">
        <v>34</v>
      </c>
      <c r="S5" t="s">
        <v>56</v>
      </c>
      <c r="T5" t="s">
        <v>50</v>
      </c>
      <c r="U5" t="s">
        <v>51</v>
      </c>
      <c r="V5" t="s">
        <v>35</v>
      </c>
      <c r="W5" t="s">
        <v>57</v>
      </c>
      <c r="X5" t="s">
        <v>36</v>
      </c>
      <c r="Y5" t="s">
        <v>44</v>
      </c>
      <c r="Z5" t="s">
        <v>59</v>
      </c>
    </row>
    <row r="6" spans="1:26">
      <c r="B6" t="s">
        <v>76</v>
      </c>
      <c r="C6" t="s">
        <v>77</v>
      </c>
      <c r="E6" t="s">
        <v>21</v>
      </c>
      <c r="F6" t="s">
        <v>78</v>
      </c>
      <c r="I6" t="s">
        <v>66</v>
      </c>
      <c r="J6">
        <v>3</v>
      </c>
      <c r="N6" t="s">
        <v>49</v>
      </c>
      <c r="O6">
        <f>COUNTIFS(Sheet1!$T:$T,O$5)</f>
        <v>30</v>
      </c>
      <c r="P6">
        <f>COUNTIFS(Sheet1!$T:$T,P$5)</f>
        <v>8</v>
      </c>
      <c r="Q6">
        <f>COUNTIFS(Sheet1!$T:$T,Q$5)</f>
        <v>2</v>
      </c>
      <c r="R6">
        <f>COUNTIFS(Sheet1!$T:$T,R$5)</f>
        <v>0</v>
      </c>
      <c r="S6">
        <f>COUNTIFS(Sheet1!$T:$T,S$5)</f>
        <v>0</v>
      </c>
      <c r="T6">
        <f>COUNTIFS(Sheet1!$T:$T,T$5)</f>
        <v>0</v>
      </c>
      <c r="U6">
        <f>COUNTIFS(Sheet1!$T:$T,U$5)</f>
        <v>0</v>
      </c>
      <c r="V6">
        <f>COUNTIFS(Sheet1!$T:$T,V$5)</f>
        <v>0</v>
      </c>
      <c r="W6">
        <f>COUNTIFS(Sheet1!$T:$T,W$5)</f>
        <v>0</v>
      </c>
      <c r="X6">
        <f>COUNTIFS(Sheet1!$T:$T,X$5)</f>
        <v>0</v>
      </c>
      <c r="Y6">
        <f>COUNTIFS(Sheet1!$T:$T,Y$5)</f>
        <v>0</v>
      </c>
      <c r="Z6">
        <f>COUNTIFS(Sheet1!$T:$T,Z$5)</f>
        <v>0</v>
      </c>
    </row>
    <row r="7" spans="1:26">
      <c r="B7" s="5" t="s">
        <v>27</v>
      </c>
      <c r="C7">
        <v>30</v>
      </c>
      <c r="E7" t="s">
        <v>51</v>
      </c>
      <c r="F7">
        <v>26</v>
      </c>
      <c r="I7" t="s">
        <v>42</v>
      </c>
      <c r="J7">
        <v>13</v>
      </c>
      <c r="N7" t="s">
        <v>80</v>
      </c>
      <c r="O7">
        <f>COUNTIFS(Sheet1!$U:$U,O$5)</f>
        <v>0</v>
      </c>
      <c r="P7">
        <f>COUNTIFS(Sheet1!$U:$U,P$5)</f>
        <v>0</v>
      </c>
      <c r="Q7">
        <f>COUNTIFS(Sheet1!$U:$U,Q$5)</f>
        <v>0</v>
      </c>
      <c r="R7">
        <f>COUNTIFS(Sheet1!$U:$U,R$5)</f>
        <v>24</v>
      </c>
      <c r="S7">
        <f>COUNTIFS(Sheet1!$U:$U,S$5)</f>
        <v>13</v>
      </c>
      <c r="T7">
        <f>COUNTIFS(Sheet1!$U:$U,T$5)</f>
        <v>3</v>
      </c>
      <c r="U7">
        <f>COUNTIFS(Sheet1!$U:$U,U$5)</f>
        <v>0</v>
      </c>
      <c r="V7">
        <f>COUNTIFS(Sheet1!$U:$U,V$5)</f>
        <v>0</v>
      </c>
      <c r="W7">
        <f>COUNTIFS(Sheet1!$U:$U,W$5)</f>
        <v>0</v>
      </c>
      <c r="X7">
        <f>COUNTIFS(Sheet1!$U:$U,X$5)</f>
        <v>0</v>
      </c>
      <c r="Y7">
        <f>COUNTIFS(Sheet1!$U:$U,Y$5)</f>
        <v>0</v>
      </c>
      <c r="Z7">
        <f>COUNTIFS(Sheet1!$U:$U,Z$5)</f>
        <v>0</v>
      </c>
    </row>
    <row r="8" spans="1:26">
      <c r="B8" s="5" t="s">
        <v>43</v>
      </c>
      <c r="C8">
        <v>8</v>
      </c>
      <c r="E8" t="s">
        <v>35</v>
      </c>
      <c r="F8">
        <v>13</v>
      </c>
      <c r="I8" t="s">
        <v>33</v>
      </c>
      <c r="J8">
        <v>24</v>
      </c>
      <c r="N8" t="s">
        <v>81</v>
      </c>
      <c r="O8">
        <f>COUNTIFS(Sheet1!$V:$V,O$5)</f>
        <v>0</v>
      </c>
      <c r="P8">
        <f>COUNTIFS(Sheet1!$V:$V,P$5)</f>
        <v>0</v>
      </c>
      <c r="Q8">
        <f>COUNTIFS(Sheet1!$V:$V,Q$5)</f>
        <v>0</v>
      </c>
      <c r="R8">
        <f>COUNTIFS(Sheet1!$V:$V,R$5)</f>
        <v>0</v>
      </c>
      <c r="S8">
        <f>COUNTIFS(Sheet1!$V:$V,S$5)</f>
        <v>0</v>
      </c>
      <c r="T8">
        <f>COUNTIFS(Sheet1!$V:$V,T$5)</f>
        <v>0</v>
      </c>
      <c r="U8">
        <f>COUNTIFS(Sheet1!$V:$V,U$5)</f>
        <v>26</v>
      </c>
      <c r="V8">
        <f>COUNTIFS(Sheet1!$V:$V,V$5)</f>
        <v>13</v>
      </c>
      <c r="W8">
        <f>COUNTIFS(Sheet1!$V:$V,W$5)</f>
        <v>1</v>
      </c>
      <c r="X8">
        <f>COUNTIFS(Sheet1!$V:$V,X$5)</f>
        <v>0</v>
      </c>
      <c r="Y8">
        <f>COUNTIFS(Sheet1!$V:$V,Y$5)</f>
        <v>0</v>
      </c>
      <c r="Z8">
        <f>COUNTIFS(Sheet1!$V:$V,Z$5)</f>
        <v>0</v>
      </c>
    </row>
    <row r="9" spans="1:26">
      <c r="B9" s="5" t="s">
        <v>62</v>
      </c>
      <c r="C9">
        <v>2</v>
      </c>
      <c r="E9" t="s">
        <v>57</v>
      </c>
      <c r="F9">
        <v>1</v>
      </c>
      <c r="I9" t="s">
        <v>71</v>
      </c>
      <c r="J9">
        <v>40</v>
      </c>
      <c r="N9" t="s">
        <v>82</v>
      </c>
      <c r="O9">
        <f>COUNTIFS(Sheet1!$W:$W,O$5)</f>
        <v>0</v>
      </c>
      <c r="P9">
        <f>COUNTIFS(Sheet1!$W:$W,P$5)</f>
        <v>0</v>
      </c>
      <c r="Q9">
        <f>COUNTIFS(Sheet1!$W:$W,Q$5)</f>
        <v>0</v>
      </c>
      <c r="R9">
        <f>COUNTIFS(Sheet1!$W:$W,R$5)</f>
        <v>0</v>
      </c>
      <c r="S9">
        <f>COUNTIFS(Sheet1!$W:$W,S$5)</f>
        <v>0</v>
      </c>
      <c r="T9">
        <f>COUNTIFS(Sheet1!$W:$W,T$5)</f>
        <v>0</v>
      </c>
      <c r="U9">
        <f>COUNTIFS(Sheet1!$W:$W,U$5)</f>
        <v>0</v>
      </c>
      <c r="V9">
        <f>COUNTIFS(Sheet1!$W:$W,V$5)</f>
        <v>0</v>
      </c>
      <c r="W9">
        <f>COUNTIFS(Sheet1!$W:$W,W$5)</f>
        <v>0</v>
      </c>
      <c r="X9">
        <f>COUNTIFS(Sheet1!$W:$W,X$5)</f>
        <v>18</v>
      </c>
      <c r="Y9">
        <f>COUNTIFS(Sheet1!$W:$W,Y$5)</f>
        <v>3</v>
      </c>
      <c r="Z9">
        <f>COUNTIFS(Sheet1!$W:$W,Z$5)</f>
        <v>19</v>
      </c>
    </row>
    <row r="10" spans="1:26">
      <c r="B10" s="5" t="s">
        <v>71</v>
      </c>
      <c r="C10">
        <v>40</v>
      </c>
      <c r="E10" t="s">
        <v>71</v>
      </c>
      <c r="F10">
        <v>40</v>
      </c>
    </row>
    <row r="11" spans="1:26">
      <c r="I11" t="s">
        <v>23</v>
      </c>
      <c r="J11" t="s">
        <v>89</v>
      </c>
    </row>
    <row r="12" spans="1:26">
      <c r="I12" t="s">
        <v>45</v>
      </c>
      <c r="J12">
        <v>16</v>
      </c>
      <c r="O12" t="s">
        <v>79</v>
      </c>
    </row>
    <row r="13" ht="21" spans="1:26">
      <c r="B13" s="3" t="s">
        <v>83</v>
      </c>
      <c r="C13" s="4"/>
      <c r="E13" s="3" t="s">
        <v>84</v>
      </c>
      <c r="F13" s="4"/>
      <c r="I13" t="s">
        <v>58</v>
      </c>
      <c r="J13">
        <v>4</v>
      </c>
      <c r="N13" t="s">
        <v>100</v>
      </c>
      <c r="O13" t="s">
        <v>81</v>
      </c>
      <c r="P13" t="s">
        <v>49</v>
      </c>
      <c r="Q13" t="s">
        <v>82</v>
      </c>
      <c r="R13" t="s">
        <v>80</v>
      </c>
      <c r="S13" t="s">
        <v>71</v>
      </c>
    </row>
    <row r="14" spans="1:26">
      <c r="B14" t="s">
        <v>20</v>
      </c>
      <c r="C14" t="s">
        <v>85</v>
      </c>
      <c r="E14" t="s">
        <v>22</v>
      </c>
      <c r="F14" t="s">
        <v>86</v>
      </c>
      <c r="I14" t="s">
        <v>37</v>
      </c>
      <c r="J14">
        <v>14</v>
      </c>
      <c r="N14" t="s">
        <v>101</v>
      </c>
      <c r="O14">
        <v>0</v>
      </c>
      <c r="P14">
        <v>30</v>
      </c>
      <c r="Q14">
        <v>0</v>
      </c>
      <c r="R14">
        <v>0</v>
      </c>
      <c r="S14">
        <v>30</v>
      </c>
    </row>
    <row r="15" spans="1:26">
      <c r="B15" t="s">
        <v>34</v>
      </c>
      <c r="C15">
        <v>24</v>
      </c>
      <c r="E15" t="s">
        <v>36</v>
      </c>
      <c r="F15">
        <v>18</v>
      </c>
      <c r="I15" t="s">
        <v>52</v>
      </c>
      <c r="J15">
        <v>6</v>
      </c>
      <c r="N15" t="s">
        <v>102</v>
      </c>
      <c r="O15">
        <v>0</v>
      </c>
      <c r="P15">
        <v>8</v>
      </c>
      <c r="Q15">
        <v>0</v>
      </c>
      <c r="R15">
        <v>0</v>
      </c>
      <c r="S15">
        <v>8</v>
      </c>
    </row>
    <row r="16" spans="1:26">
      <c r="B16" t="s">
        <v>56</v>
      </c>
      <c r="C16">
        <v>13</v>
      </c>
      <c r="E16" t="s">
        <v>44</v>
      </c>
      <c r="F16">
        <v>3</v>
      </c>
      <c r="I16" t="s">
        <v>71</v>
      </c>
      <c r="J16">
        <v>40</v>
      </c>
      <c r="N16" t="s">
        <v>103</v>
      </c>
      <c r="O16">
        <v>0</v>
      </c>
      <c r="P16">
        <v>2</v>
      </c>
      <c r="Q16">
        <v>0</v>
      </c>
      <c r="R16">
        <v>0</v>
      </c>
      <c r="S16">
        <v>2</v>
      </c>
    </row>
    <row r="17" spans="2:19">
      <c r="B17" t="s">
        <v>50</v>
      </c>
      <c r="C17">
        <v>3</v>
      </c>
      <c r="E17" t="s">
        <v>59</v>
      </c>
      <c r="F17">
        <v>19</v>
      </c>
      <c r="N17" t="s">
        <v>104</v>
      </c>
      <c r="O17">
        <v>0</v>
      </c>
      <c r="P17">
        <v>0</v>
      </c>
      <c r="Q17">
        <v>0</v>
      </c>
      <c r="R17">
        <v>24</v>
      </c>
      <c r="S17">
        <v>24</v>
      </c>
    </row>
    <row r="18" spans="2:19">
      <c r="B18" t="s">
        <v>71</v>
      </c>
      <c r="C18">
        <v>40</v>
      </c>
      <c r="E18" t="s">
        <v>71</v>
      </c>
      <c r="F18">
        <v>40</v>
      </c>
      <c r="N18" t="s">
        <v>105</v>
      </c>
      <c r="O18">
        <v>0</v>
      </c>
      <c r="P18">
        <v>0</v>
      </c>
      <c r="Q18">
        <v>0</v>
      </c>
      <c r="R18">
        <v>13</v>
      </c>
      <c r="S18">
        <v>13</v>
      </c>
    </row>
    <row r="19" spans="2:19">
      <c r="N19" t="s">
        <v>106</v>
      </c>
      <c r="O19">
        <v>0</v>
      </c>
      <c r="P19">
        <v>0</v>
      </c>
      <c r="Q19">
        <v>0</v>
      </c>
      <c r="R19">
        <v>3</v>
      </c>
      <c r="S19">
        <v>3</v>
      </c>
    </row>
    <row r="20" spans="2:19">
      <c r="N20" t="s">
        <v>107</v>
      </c>
      <c r="O20">
        <v>26</v>
      </c>
      <c r="P20">
        <v>0</v>
      </c>
      <c r="Q20">
        <v>0</v>
      </c>
      <c r="R20">
        <v>0</v>
      </c>
      <c r="S20">
        <v>26</v>
      </c>
    </row>
    <row r="21" spans="2:19">
      <c r="N21" t="s">
        <v>108</v>
      </c>
      <c r="O21">
        <v>13</v>
      </c>
      <c r="P21">
        <v>0</v>
      </c>
      <c r="Q21">
        <v>0</v>
      </c>
      <c r="R21">
        <v>0</v>
      </c>
      <c r="S21">
        <v>13</v>
      </c>
    </row>
    <row r="22" spans="2:19">
      <c r="C22" t="s">
        <v>14</v>
      </c>
      <c r="D22" t="s">
        <v>91</v>
      </c>
      <c r="N22" t="s">
        <v>109</v>
      </c>
      <c r="O22">
        <v>1</v>
      </c>
      <c r="P22">
        <v>0</v>
      </c>
      <c r="Q22">
        <v>0</v>
      </c>
      <c r="R22">
        <v>0</v>
      </c>
      <c r="S22">
        <v>1</v>
      </c>
    </row>
    <row r="23" spans="2:19">
      <c r="C23" t="s">
        <v>29</v>
      </c>
      <c r="D23">
        <v>18</v>
      </c>
      <c r="F23" t="s">
        <v>16</v>
      </c>
      <c r="G23" t="s">
        <v>92</v>
      </c>
      <c r="J23" s="5"/>
      <c r="K23"/>
      <c r="L23"/>
      <c r="M23"/>
      <c r="N23" t="s">
        <v>110</v>
      </c>
      <c r="O23">
        <v>0</v>
      </c>
      <c r="P23">
        <v>0</v>
      </c>
      <c r="Q23">
        <v>18</v>
      </c>
      <c r="R23">
        <v>0</v>
      </c>
      <c r="S23">
        <v>18</v>
      </c>
    </row>
    <row r="24" spans="2:19">
      <c r="C24" t="s">
        <v>47</v>
      </c>
      <c r="D24">
        <v>19</v>
      </c>
      <c r="F24" t="s">
        <v>55</v>
      </c>
      <c r="G24">
        <v>3</v>
      </c>
      <c r="K24" s="5"/>
      <c r="L24"/>
      <c r="M24"/>
      <c r="N24" t="s">
        <v>111</v>
      </c>
      <c r="O24">
        <v>0</v>
      </c>
      <c r="P24">
        <v>0</v>
      </c>
      <c r="Q24">
        <v>3</v>
      </c>
      <c r="R24">
        <v>0</v>
      </c>
      <c r="S24">
        <v>3</v>
      </c>
    </row>
    <row r="25" spans="2:19">
      <c r="C25" t="s">
        <v>54</v>
      </c>
      <c r="D25">
        <v>2</v>
      </c>
      <c r="F25" t="s">
        <v>31</v>
      </c>
      <c r="G25">
        <v>32</v>
      </c>
      <c r="L25" s="5"/>
      <c r="M25"/>
      <c r="N25" t="s">
        <v>112</v>
      </c>
      <c r="O25">
        <v>0</v>
      </c>
      <c r="P25">
        <v>0</v>
      </c>
      <c r="Q25">
        <v>19</v>
      </c>
      <c r="R25">
        <v>0</v>
      </c>
      <c r="S25">
        <v>19</v>
      </c>
    </row>
    <row r="26" spans="2:19">
      <c r="C26" t="s">
        <v>40</v>
      </c>
      <c r="D26">
        <v>1</v>
      </c>
      <c r="F26" t="s">
        <v>61</v>
      </c>
      <c r="G26">
        <v>5</v>
      </c>
      <c r="L26" s="5"/>
    </row>
    <row r="27" spans="2:19">
      <c r="C27" t="s">
        <v>71</v>
      </c>
      <c r="D27">
        <v>40</v>
      </c>
      <c r="F27" t="s">
        <v>71</v>
      </c>
      <c r="G27">
        <v>40</v>
      </c>
      <c r="L27" s="5"/>
    </row>
    <row r="28" spans="2:19">
      <c r="K28" s="5"/>
    </row>
    <row r="29" spans="2:19">
      <c r="L29" s="5"/>
    </row>
    <row r="30" spans="2:19">
      <c r="L30" s="5"/>
    </row>
    <row r="31" spans="2:19">
      <c r="K31" s="5"/>
    </row>
    <row r="32" spans="2:19">
      <c r="L32" s="5"/>
    </row>
    <row r="33" spans="10:12">
      <c r="J33" s="5"/>
    </row>
    <row r="34" spans="10:12">
      <c r="K34" s="5"/>
    </row>
    <row r="35" spans="10:12">
      <c r="L35" s="5"/>
    </row>
    <row r="36" spans="10:12">
      <c r="L36" s="5"/>
    </row>
    <row r="37" spans="10:12">
      <c r="L37" s="5"/>
    </row>
    <row r="38" spans="10:12">
      <c r="K38" s="5"/>
    </row>
    <row r="39" spans="10:12">
      <c r="L39" s="5"/>
    </row>
    <row r="40" spans="10:12">
      <c r="J40" s="5"/>
    </row>
    <row r="41" spans="10:12">
      <c r="K41" s="5"/>
    </row>
    <row r="42" spans="10:12">
      <c r="L42" s="5"/>
    </row>
    <row r="43" spans="10:12">
      <c r="L43" s="5"/>
    </row>
    <row r="44" spans="10:12">
      <c r="K44" s="5"/>
    </row>
    <row r="45" spans="10:12">
      <c r="L45" s="5"/>
    </row>
    <row r="46" spans="10:12">
      <c r="J46" s="5"/>
    </row>
    <row r="47" spans="10:12">
      <c r="K47" s="5"/>
    </row>
    <row r="48" spans="10:12">
      <c r="L48" s="5"/>
    </row>
    <row r="49" spans="10:12">
      <c r="K49" s="5"/>
    </row>
    <row r="50" spans="10:12">
      <c r="L50" s="5"/>
    </row>
    <row r="51" spans="10:12">
      <c r="J51" s="5"/>
    </row>
  </sheetData>
  <mergeCells count="5">
    <mergeCell ref="B5:C5"/>
    <mergeCell ref="E5:F5"/>
    <mergeCell ref="B13:C13"/>
    <mergeCell ref="E13:F13"/>
    <mergeCell ref="A1:O2"/>
  </mergeCells>
  <pageMargins left="0.75" right="0.75" top="1" bottom="1" header="0.5" footer="0.5"/>
  <headerFooter/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N3:P32"/>
  <sheetViews>
    <sheetView showGridLines="0" tabSelected="1" workbookViewId="0">
      <selection activeCell="F9" sqref="F9"/>
    </sheetView>
  </sheetViews>
  <sheetFormatPr defaultColWidth="8.88888888888889" defaultRowHeight="14.4"/>
  <sheetData>
    <row r="3" spans="15:16">
      <c r="P3" t="s">
        <v>113</v>
      </c>
    </row>
    <row r="6" spans="15:16">
      <c r="O6" t="s">
        <v>114</v>
      </c>
    </row>
    <row r="32" spans="14:14">
      <c r="N32" t="s">
        <v>113</v>
      </c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2026-06-12T16:35:00Z</dcterms:created>
  <dcterms:modified xsi:type="dcterms:W3CDTF">2026-06-14T14:09:09Z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D0B8CE9241DF42D6B1BD74454CC2AEDD_11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